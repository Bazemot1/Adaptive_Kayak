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undy\Documents\Godot\kayaksim\"/>
    </mc:Choice>
  </mc:AlternateContent>
  <xr:revisionPtr revIDLastSave="0" documentId="13_ncr:1_{3A229CB2-7511-4A63-B6F0-A755A9B61821}" xr6:coauthVersionLast="47" xr6:coauthVersionMax="47" xr10:uidLastSave="{00000000-0000-0000-0000-000000000000}"/>
  <bookViews>
    <workbookView xWindow="-98" yWindow="-98" windowWidth="20715" windowHeight="13155" activeTab="1" xr2:uid="{CD1611EA-F3BF-48F7-8AAF-AEBA8DB2493A}"/>
  </bookViews>
  <sheets>
    <sheet name="Calculations" sheetId="1" r:id="rId1"/>
    <sheet name="Data" sheetId="2" r:id="rId2"/>
    <sheet name="SystemConstant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2" i="2" l="1"/>
  <c r="G541" i="2"/>
  <c r="G540" i="2"/>
  <c r="G539" i="2"/>
  <c r="G538" i="2"/>
  <c r="G537" i="2"/>
  <c r="G536" i="2"/>
  <c r="G535" i="2"/>
  <c r="G534" i="2"/>
  <c r="G533" i="2"/>
  <c r="G532" i="2"/>
  <c r="G531" i="2"/>
  <c r="G530" i="2"/>
  <c r="G529" i="2"/>
  <c r="G528" i="2"/>
  <c r="G527" i="2"/>
  <c r="G526" i="2"/>
  <c r="G525" i="2"/>
  <c r="G524" i="2"/>
  <c r="G523" i="2"/>
  <c r="G522" i="2"/>
  <c r="G521" i="2"/>
  <c r="G520" i="2"/>
  <c r="G519" i="2"/>
  <c r="G518" i="2"/>
  <c r="G517" i="2"/>
  <c r="G516" i="2"/>
  <c r="G515" i="2"/>
  <c r="G514" i="2"/>
  <c r="G513" i="2"/>
  <c r="G512" i="2"/>
  <c r="G511" i="2"/>
  <c r="G510" i="2"/>
  <c r="G509" i="2"/>
  <c r="G508" i="2"/>
  <c r="G507" i="2"/>
  <c r="G506" i="2"/>
  <c r="G505" i="2"/>
  <c r="G504" i="2"/>
  <c r="G503" i="2"/>
  <c r="G502" i="2"/>
  <c r="G501" i="2"/>
  <c r="G500" i="2"/>
  <c r="G499" i="2"/>
  <c r="G498" i="2"/>
  <c r="G497" i="2"/>
  <c r="G496" i="2"/>
  <c r="G495" i="2"/>
  <c r="G494" i="2"/>
  <c r="G493" i="2"/>
  <c r="G492" i="2"/>
  <c r="G491" i="2"/>
  <c r="G490" i="2"/>
  <c r="G489" i="2"/>
  <c r="G488" i="2"/>
  <c r="G487" i="2"/>
  <c r="G486" i="2"/>
  <c r="G485" i="2"/>
  <c r="G484" i="2"/>
  <c r="G483" i="2"/>
  <c r="G482" i="2"/>
  <c r="G481" i="2"/>
  <c r="G480" i="2"/>
  <c r="G479" i="2"/>
  <c r="G478" i="2"/>
  <c r="G477" i="2"/>
  <c r="G476" i="2"/>
  <c r="G475" i="2"/>
  <c r="G474" i="2"/>
  <c r="G473" i="2"/>
  <c r="G472" i="2"/>
  <c r="G471" i="2"/>
  <c r="G470" i="2"/>
  <c r="G469" i="2"/>
  <c r="G468" i="2"/>
  <c r="G467" i="2"/>
  <c r="G466" i="2"/>
  <c r="G465" i="2"/>
  <c r="G464" i="2"/>
  <c r="G463" i="2"/>
  <c r="G462" i="2"/>
  <c r="G461" i="2"/>
  <c r="G460" i="2"/>
  <c r="G459" i="2"/>
  <c r="G458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440" i="2"/>
  <c r="G439" i="2"/>
  <c r="G438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90" i="2"/>
  <c r="G89" i="2"/>
  <c r="G88" i="2"/>
  <c r="G87" i="2"/>
  <c r="G86" i="2"/>
  <c r="G85" i="2"/>
  <c r="G84" i="2"/>
  <c r="G83" i="2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H2" i="2"/>
  <c r="B3" i="2"/>
  <c r="B4" i="2" s="1"/>
  <c r="B15" i="1"/>
  <c r="C15" i="1" s="1"/>
  <c r="B14" i="1"/>
  <c r="C14" i="1" s="1"/>
  <c r="B13" i="1"/>
  <c r="C13" i="1" s="1"/>
  <c r="B5" i="2" l="1"/>
  <c r="C4" i="2"/>
  <c r="C3" i="2"/>
  <c r="E3" i="2" s="1"/>
  <c r="F3" i="2" s="1"/>
  <c r="H3" i="2" s="1"/>
  <c r="E4" i="2" l="1"/>
  <c r="F4" i="2" s="1"/>
  <c r="H4" i="2" s="1"/>
  <c r="B6" i="2"/>
  <c r="C5" i="2"/>
  <c r="E5" i="2" s="1"/>
  <c r="F5" i="2" l="1"/>
  <c r="H5" i="2" s="1"/>
  <c r="B7" i="2"/>
  <c r="C6" i="2"/>
  <c r="E6" i="2" s="1"/>
  <c r="F6" i="2" s="1"/>
  <c r="H6" i="2" s="1"/>
  <c r="B8" i="2" l="1"/>
  <c r="C7" i="2"/>
  <c r="E7" i="2" s="1"/>
  <c r="F7" i="2" s="1"/>
  <c r="H7" i="2" s="1"/>
  <c r="B9" i="2" l="1"/>
  <c r="C8" i="2"/>
  <c r="E8" i="2"/>
  <c r="F8" i="2" s="1"/>
  <c r="H8" i="2" s="1"/>
  <c r="B10" i="2" l="1"/>
  <c r="C9" i="2"/>
  <c r="E9" i="2" s="1"/>
  <c r="F9" i="2" s="1"/>
  <c r="H9" i="2" s="1"/>
  <c r="B11" i="2" l="1"/>
  <c r="C10" i="2"/>
  <c r="E10" i="2" s="1"/>
  <c r="F10" i="2" s="1"/>
  <c r="H10" i="2" s="1"/>
  <c r="B12" i="2" l="1"/>
  <c r="C11" i="2"/>
  <c r="E11" i="2" s="1"/>
  <c r="F11" i="2" s="1"/>
  <c r="H11" i="2" s="1"/>
  <c r="B13" i="2" l="1"/>
  <c r="C12" i="2"/>
  <c r="E12" i="2" s="1"/>
  <c r="F12" i="2" s="1"/>
  <c r="H12" i="2" s="1"/>
  <c r="B14" i="2" l="1"/>
  <c r="C13" i="2"/>
  <c r="E13" i="2" s="1"/>
  <c r="F13" i="2" s="1"/>
  <c r="H13" i="2" s="1"/>
  <c r="B15" i="2" l="1"/>
  <c r="C14" i="2"/>
  <c r="E14" i="2" s="1"/>
  <c r="F14" i="2" s="1"/>
  <c r="H14" i="2" s="1"/>
  <c r="B16" i="2" l="1"/>
  <c r="C15" i="2"/>
  <c r="E15" i="2"/>
  <c r="F15" i="2" s="1"/>
  <c r="H15" i="2" s="1"/>
  <c r="B17" i="2" l="1"/>
  <c r="C16" i="2"/>
  <c r="E16" i="2" s="1"/>
  <c r="F16" i="2" s="1"/>
  <c r="H16" i="2" s="1"/>
  <c r="C17" i="2" l="1"/>
  <c r="B18" i="2"/>
  <c r="E17" i="2"/>
  <c r="F17" i="2" s="1"/>
  <c r="H17" i="2" s="1"/>
  <c r="C18" i="2" l="1"/>
  <c r="E18" i="2" s="1"/>
  <c r="F18" i="2" s="1"/>
  <c r="H18" i="2" s="1"/>
  <c r="B19" i="2"/>
  <c r="B20" i="2" l="1"/>
  <c r="C19" i="2"/>
  <c r="E19" i="2" s="1"/>
  <c r="F19" i="2" s="1"/>
  <c r="H19" i="2" s="1"/>
  <c r="B21" i="2" l="1"/>
  <c r="C20" i="2"/>
  <c r="E20" i="2" s="1"/>
  <c r="F20" i="2" s="1"/>
  <c r="H20" i="2" s="1"/>
  <c r="B22" i="2" l="1"/>
  <c r="C21" i="2"/>
  <c r="E21" i="2" s="1"/>
  <c r="F21" i="2" s="1"/>
  <c r="H21" i="2" s="1"/>
  <c r="B23" i="2" l="1"/>
  <c r="C22" i="2"/>
  <c r="E22" i="2" s="1"/>
  <c r="F22" i="2" s="1"/>
  <c r="H22" i="2" s="1"/>
  <c r="B24" i="2" l="1"/>
  <c r="C23" i="2"/>
  <c r="E23" i="2" s="1"/>
  <c r="F23" i="2" s="1"/>
  <c r="H23" i="2" s="1"/>
  <c r="B25" i="2" l="1"/>
  <c r="C24" i="2"/>
  <c r="E24" i="2" s="1"/>
  <c r="F24" i="2" s="1"/>
  <c r="H24" i="2" s="1"/>
  <c r="B26" i="2" l="1"/>
  <c r="C25" i="2"/>
  <c r="E25" i="2" s="1"/>
  <c r="F25" i="2" s="1"/>
  <c r="H25" i="2" s="1"/>
  <c r="B27" i="2" l="1"/>
  <c r="C26" i="2"/>
  <c r="E26" i="2" s="1"/>
  <c r="F26" i="2" s="1"/>
  <c r="H26" i="2" s="1"/>
  <c r="B28" i="2" l="1"/>
  <c r="C27" i="2"/>
  <c r="E27" i="2" s="1"/>
  <c r="F27" i="2" s="1"/>
  <c r="H27" i="2" s="1"/>
  <c r="B29" i="2" l="1"/>
  <c r="C28" i="2"/>
  <c r="E28" i="2"/>
  <c r="F28" i="2" s="1"/>
  <c r="H28" i="2" s="1"/>
  <c r="B30" i="2" l="1"/>
  <c r="C29" i="2"/>
  <c r="E29" i="2"/>
  <c r="F29" i="2" s="1"/>
  <c r="H29" i="2" s="1"/>
  <c r="B31" i="2" l="1"/>
  <c r="C30" i="2"/>
  <c r="E30" i="2"/>
  <c r="F30" i="2" s="1"/>
  <c r="H30" i="2" s="1"/>
  <c r="B32" i="2" l="1"/>
  <c r="C31" i="2"/>
  <c r="E31" i="2" s="1"/>
  <c r="F31" i="2" s="1"/>
  <c r="H31" i="2" s="1"/>
  <c r="B33" i="2" l="1"/>
  <c r="C32" i="2"/>
  <c r="E32" i="2" s="1"/>
  <c r="F32" i="2" s="1"/>
  <c r="H32" i="2" s="1"/>
  <c r="B34" i="2" l="1"/>
  <c r="C33" i="2"/>
  <c r="E33" i="2" s="1"/>
  <c r="F33" i="2" s="1"/>
  <c r="H33" i="2" s="1"/>
  <c r="B35" i="2" l="1"/>
  <c r="C34" i="2"/>
  <c r="E34" i="2" s="1"/>
  <c r="F34" i="2" s="1"/>
  <c r="H34" i="2" s="1"/>
  <c r="B36" i="2" l="1"/>
  <c r="C35" i="2"/>
  <c r="E35" i="2"/>
  <c r="F35" i="2" s="1"/>
  <c r="H35" i="2" s="1"/>
  <c r="B37" i="2" l="1"/>
  <c r="C36" i="2"/>
  <c r="E36" i="2" s="1"/>
  <c r="F36" i="2" s="1"/>
  <c r="H36" i="2" s="1"/>
  <c r="B38" i="2" l="1"/>
  <c r="C37" i="2"/>
  <c r="E37" i="2" s="1"/>
  <c r="F37" i="2" s="1"/>
  <c r="H37" i="2" s="1"/>
  <c r="B39" i="2" l="1"/>
  <c r="C38" i="2"/>
  <c r="E38" i="2" s="1"/>
  <c r="F38" i="2" s="1"/>
  <c r="H38" i="2" s="1"/>
  <c r="B40" i="2" l="1"/>
  <c r="C39" i="2"/>
  <c r="E39" i="2" s="1"/>
  <c r="F39" i="2" s="1"/>
  <c r="H39" i="2" s="1"/>
  <c r="B41" i="2" l="1"/>
  <c r="C40" i="2"/>
  <c r="E40" i="2" s="1"/>
  <c r="F40" i="2" s="1"/>
  <c r="H40" i="2" s="1"/>
  <c r="B42" i="2" l="1"/>
  <c r="C41" i="2"/>
  <c r="E41" i="2" s="1"/>
  <c r="F41" i="2" s="1"/>
  <c r="H41" i="2" s="1"/>
  <c r="B43" i="2" l="1"/>
  <c r="C42" i="2"/>
  <c r="E42" i="2" s="1"/>
  <c r="F42" i="2" s="1"/>
  <c r="H42" i="2" s="1"/>
  <c r="B44" i="2" l="1"/>
  <c r="C43" i="2"/>
  <c r="E43" i="2" s="1"/>
  <c r="F43" i="2" s="1"/>
  <c r="H43" i="2" s="1"/>
  <c r="B45" i="2" l="1"/>
  <c r="C44" i="2"/>
  <c r="E44" i="2" s="1"/>
  <c r="F44" i="2" s="1"/>
  <c r="H44" i="2" s="1"/>
  <c r="B46" i="2" l="1"/>
  <c r="C45" i="2"/>
  <c r="E45" i="2" s="1"/>
  <c r="F45" i="2" s="1"/>
  <c r="H45" i="2" s="1"/>
  <c r="B47" i="2" l="1"/>
  <c r="C46" i="2"/>
  <c r="E46" i="2" s="1"/>
  <c r="F46" i="2" s="1"/>
  <c r="H46" i="2" s="1"/>
  <c r="B48" i="2" l="1"/>
  <c r="C47" i="2"/>
  <c r="E47" i="2" s="1"/>
  <c r="F47" i="2" s="1"/>
  <c r="H47" i="2" s="1"/>
  <c r="B49" i="2" l="1"/>
  <c r="C48" i="2"/>
  <c r="E48" i="2" s="1"/>
  <c r="F48" i="2" s="1"/>
  <c r="H48" i="2" s="1"/>
  <c r="B50" i="2" l="1"/>
  <c r="C49" i="2"/>
  <c r="E49" i="2" s="1"/>
  <c r="F49" i="2" s="1"/>
  <c r="H49" i="2" s="1"/>
  <c r="B51" i="2" l="1"/>
  <c r="C50" i="2"/>
  <c r="E50" i="2" s="1"/>
  <c r="F50" i="2" s="1"/>
  <c r="H50" i="2" s="1"/>
  <c r="B52" i="2" l="1"/>
  <c r="C51" i="2"/>
  <c r="E51" i="2"/>
  <c r="F51" i="2" s="1"/>
  <c r="H51" i="2" s="1"/>
  <c r="B53" i="2" l="1"/>
  <c r="C52" i="2"/>
  <c r="E52" i="2" s="1"/>
  <c r="F52" i="2" s="1"/>
  <c r="H52" i="2" s="1"/>
  <c r="B54" i="2" l="1"/>
  <c r="C53" i="2"/>
  <c r="E53" i="2"/>
  <c r="F53" i="2" s="1"/>
  <c r="H53" i="2" s="1"/>
  <c r="B55" i="2" l="1"/>
  <c r="C54" i="2"/>
  <c r="E54" i="2"/>
  <c r="F54" i="2" s="1"/>
  <c r="H54" i="2" s="1"/>
  <c r="B56" i="2" l="1"/>
  <c r="C55" i="2"/>
  <c r="E55" i="2" s="1"/>
  <c r="F55" i="2" s="1"/>
  <c r="H55" i="2" s="1"/>
  <c r="B57" i="2" l="1"/>
  <c r="C56" i="2"/>
  <c r="E56" i="2" s="1"/>
  <c r="F56" i="2" s="1"/>
  <c r="H56" i="2" s="1"/>
  <c r="B58" i="2" l="1"/>
  <c r="C57" i="2"/>
  <c r="E57" i="2" s="1"/>
  <c r="F57" i="2" s="1"/>
  <c r="H57" i="2" s="1"/>
  <c r="B59" i="2" l="1"/>
  <c r="C58" i="2"/>
  <c r="E58" i="2" s="1"/>
  <c r="F58" i="2" s="1"/>
  <c r="H58" i="2" s="1"/>
  <c r="B60" i="2" l="1"/>
  <c r="C59" i="2"/>
  <c r="E59" i="2"/>
  <c r="F59" i="2" s="1"/>
  <c r="H59" i="2" s="1"/>
  <c r="B61" i="2" l="1"/>
  <c r="C60" i="2"/>
  <c r="E60" i="2" s="1"/>
  <c r="F60" i="2" s="1"/>
  <c r="H60" i="2" s="1"/>
  <c r="B62" i="2" l="1"/>
  <c r="C61" i="2"/>
  <c r="E61" i="2" s="1"/>
  <c r="F61" i="2" s="1"/>
  <c r="H61" i="2" s="1"/>
  <c r="B63" i="2" l="1"/>
  <c r="C62" i="2"/>
  <c r="E62" i="2" s="1"/>
  <c r="F62" i="2" s="1"/>
  <c r="H62" i="2" s="1"/>
  <c r="B64" i="2" l="1"/>
  <c r="C63" i="2"/>
  <c r="E63" i="2" s="1"/>
  <c r="F63" i="2" s="1"/>
  <c r="H63" i="2" s="1"/>
  <c r="B65" i="2" l="1"/>
  <c r="C64" i="2"/>
  <c r="E64" i="2" s="1"/>
  <c r="F64" i="2" s="1"/>
  <c r="H64" i="2" s="1"/>
  <c r="B66" i="2" l="1"/>
  <c r="C65" i="2"/>
  <c r="E65" i="2" s="1"/>
  <c r="F65" i="2" s="1"/>
  <c r="H65" i="2" s="1"/>
  <c r="B67" i="2" l="1"/>
  <c r="C66" i="2"/>
  <c r="E66" i="2"/>
  <c r="F66" i="2" s="1"/>
  <c r="H66" i="2" s="1"/>
  <c r="B68" i="2" l="1"/>
  <c r="C67" i="2"/>
  <c r="E67" i="2"/>
  <c r="F67" i="2" s="1"/>
  <c r="H67" i="2" s="1"/>
  <c r="B69" i="2" l="1"/>
  <c r="C68" i="2"/>
  <c r="E68" i="2" s="1"/>
  <c r="F68" i="2" s="1"/>
  <c r="H68" i="2" s="1"/>
  <c r="B70" i="2" l="1"/>
  <c r="C69" i="2"/>
  <c r="E69" i="2" s="1"/>
  <c r="F69" i="2" s="1"/>
  <c r="H69" i="2" s="1"/>
  <c r="B71" i="2" l="1"/>
  <c r="C70" i="2"/>
  <c r="E70" i="2" s="1"/>
  <c r="F70" i="2" s="1"/>
  <c r="H70" i="2" s="1"/>
  <c r="B72" i="2" l="1"/>
  <c r="C71" i="2"/>
  <c r="E71" i="2" s="1"/>
  <c r="F71" i="2" s="1"/>
  <c r="H71" i="2" s="1"/>
  <c r="B73" i="2" l="1"/>
  <c r="C72" i="2"/>
  <c r="E72" i="2" s="1"/>
  <c r="F72" i="2" s="1"/>
  <c r="H72" i="2" s="1"/>
  <c r="B74" i="2" l="1"/>
  <c r="C73" i="2"/>
  <c r="E73" i="2" s="1"/>
  <c r="F73" i="2" s="1"/>
  <c r="H73" i="2" s="1"/>
  <c r="B75" i="2" l="1"/>
  <c r="C74" i="2"/>
  <c r="E74" i="2" s="1"/>
  <c r="F74" i="2" s="1"/>
  <c r="H74" i="2" s="1"/>
  <c r="B76" i="2" l="1"/>
  <c r="C75" i="2"/>
  <c r="E75" i="2" s="1"/>
  <c r="F75" i="2" s="1"/>
  <c r="H75" i="2" s="1"/>
  <c r="B77" i="2" l="1"/>
  <c r="C76" i="2"/>
  <c r="E76" i="2"/>
  <c r="F76" i="2" s="1"/>
  <c r="H76" i="2" s="1"/>
  <c r="B78" i="2" l="1"/>
  <c r="C77" i="2"/>
  <c r="E77" i="2" s="1"/>
  <c r="F77" i="2" s="1"/>
  <c r="H77" i="2" s="1"/>
  <c r="B79" i="2" l="1"/>
  <c r="C78" i="2"/>
  <c r="E78" i="2"/>
  <c r="F78" i="2" s="1"/>
  <c r="H78" i="2" s="1"/>
  <c r="B80" i="2" l="1"/>
  <c r="C79" i="2"/>
  <c r="E79" i="2"/>
  <c r="F79" i="2" s="1"/>
  <c r="H79" i="2" s="1"/>
  <c r="B81" i="2" l="1"/>
  <c r="C80" i="2"/>
  <c r="E80" i="2" s="1"/>
  <c r="F80" i="2" s="1"/>
  <c r="H80" i="2" s="1"/>
  <c r="B82" i="2" l="1"/>
  <c r="C81" i="2"/>
  <c r="E81" i="2" s="1"/>
  <c r="F81" i="2" s="1"/>
  <c r="H81" i="2" s="1"/>
  <c r="B83" i="2" l="1"/>
  <c r="C82" i="2"/>
  <c r="E82" i="2" s="1"/>
  <c r="F82" i="2" s="1"/>
  <c r="H82" i="2" s="1"/>
  <c r="B84" i="2" l="1"/>
  <c r="C83" i="2"/>
  <c r="E83" i="2" s="1"/>
  <c r="F83" i="2" s="1"/>
  <c r="H83" i="2" s="1"/>
  <c r="B85" i="2" l="1"/>
  <c r="C84" i="2"/>
  <c r="E84" i="2" s="1"/>
  <c r="F84" i="2" s="1"/>
  <c r="H84" i="2" s="1"/>
  <c r="B86" i="2" l="1"/>
  <c r="C85" i="2"/>
  <c r="E85" i="2" s="1"/>
  <c r="F85" i="2" s="1"/>
  <c r="H85" i="2" s="1"/>
  <c r="B87" i="2" l="1"/>
  <c r="C86" i="2"/>
  <c r="E86" i="2" s="1"/>
  <c r="F86" i="2" s="1"/>
  <c r="H86" i="2" s="1"/>
  <c r="B88" i="2" l="1"/>
  <c r="C87" i="2"/>
  <c r="E87" i="2" s="1"/>
  <c r="F87" i="2" s="1"/>
  <c r="H87" i="2" s="1"/>
  <c r="B89" i="2" l="1"/>
  <c r="C88" i="2"/>
  <c r="E88" i="2"/>
  <c r="F88" i="2" s="1"/>
  <c r="H88" i="2" s="1"/>
  <c r="B90" i="2" l="1"/>
  <c r="C89" i="2"/>
  <c r="E89" i="2"/>
  <c r="F89" i="2" s="1"/>
  <c r="H89" i="2" s="1"/>
  <c r="B91" i="2" l="1"/>
  <c r="C90" i="2"/>
  <c r="E90" i="2"/>
  <c r="F90" i="2" s="1"/>
  <c r="H90" i="2" s="1"/>
  <c r="B92" i="2" l="1"/>
  <c r="C91" i="2"/>
  <c r="E91" i="2"/>
  <c r="F91" i="2" s="1"/>
  <c r="H91" i="2" s="1"/>
  <c r="B93" i="2" l="1"/>
  <c r="C92" i="2"/>
  <c r="E92" i="2"/>
  <c r="F92" i="2" s="1"/>
  <c r="H92" i="2" s="1"/>
  <c r="B94" i="2" l="1"/>
  <c r="C93" i="2"/>
  <c r="E93" i="2" s="1"/>
  <c r="F93" i="2" s="1"/>
  <c r="H93" i="2" s="1"/>
  <c r="B95" i="2" l="1"/>
  <c r="C94" i="2"/>
  <c r="E94" i="2" s="1"/>
  <c r="F94" i="2" s="1"/>
  <c r="H94" i="2" s="1"/>
  <c r="B96" i="2" l="1"/>
  <c r="C95" i="2"/>
  <c r="E95" i="2" s="1"/>
  <c r="F95" i="2" s="1"/>
  <c r="H95" i="2" s="1"/>
  <c r="B97" i="2" l="1"/>
  <c r="C96" i="2"/>
  <c r="E96" i="2" s="1"/>
  <c r="F96" i="2" s="1"/>
  <c r="H96" i="2" s="1"/>
  <c r="B98" i="2" l="1"/>
  <c r="C97" i="2"/>
  <c r="E97" i="2" s="1"/>
  <c r="F97" i="2" s="1"/>
  <c r="H97" i="2" s="1"/>
  <c r="B99" i="2" l="1"/>
  <c r="C98" i="2"/>
  <c r="E98" i="2" s="1"/>
  <c r="F98" i="2" s="1"/>
  <c r="H98" i="2" s="1"/>
  <c r="B100" i="2" l="1"/>
  <c r="C99" i="2"/>
  <c r="E99" i="2"/>
  <c r="F99" i="2" s="1"/>
  <c r="H99" i="2" s="1"/>
  <c r="B101" i="2" l="1"/>
  <c r="C100" i="2"/>
  <c r="E100" i="2"/>
  <c r="F100" i="2" s="1"/>
  <c r="H100" i="2" s="1"/>
  <c r="B102" i="2" l="1"/>
  <c r="C101" i="2"/>
  <c r="E101" i="2"/>
  <c r="F101" i="2" s="1"/>
  <c r="H101" i="2" s="1"/>
  <c r="B103" i="2" l="1"/>
  <c r="C102" i="2"/>
  <c r="E102" i="2"/>
  <c r="F102" i="2" s="1"/>
  <c r="H102" i="2" s="1"/>
  <c r="B104" i="2" l="1"/>
  <c r="C103" i="2"/>
  <c r="E103" i="2"/>
  <c r="F103" i="2" s="1"/>
  <c r="H103" i="2" s="1"/>
  <c r="B105" i="2" l="1"/>
  <c r="C104" i="2"/>
  <c r="E104" i="2"/>
  <c r="F104" i="2" s="1"/>
  <c r="H104" i="2" s="1"/>
  <c r="B106" i="2" l="1"/>
  <c r="C105" i="2"/>
  <c r="E105" i="2" s="1"/>
  <c r="F105" i="2" s="1"/>
  <c r="H105" i="2" s="1"/>
  <c r="B107" i="2" l="1"/>
  <c r="C106" i="2"/>
  <c r="E106" i="2" s="1"/>
  <c r="F106" i="2" s="1"/>
  <c r="H106" i="2" s="1"/>
  <c r="B108" i="2" l="1"/>
  <c r="C107" i="2"/>
  <c r="E107" i="2" s="1"/>
  <c r="F107" i="2" s="1"/>
  <c r="H107" i="2" s="1"/>
  <c r="B109" i="2" l="1"/>
  <c r="C108" i="2"/>
  <c r="E108" i="2" s="1"/>
  <c r="F108" i="2" s="1"/>
  <c r="H108" i="2" s="1"/>
  <c r="B110" i="2" l="1"/>
  <c r="C109" i="2"/>
  <c r="E109" i="2" s="1"/>
  <c r="F109" i="2" s="1"/>
  <c r="H109" i="2" s="1"/>
  <c r="B111" i="2" l="1"/>
  <c r="C110" i="2"/>
  <c r="E110" i="2" s="1"/>
  <c r="F110" i="2" s="1"/>
  <c r="H110" i="2" s="1"/>
  <c r="B112" i="2" l="1"/>
  <c r="C111" i="2"/>
  <c r="E111" i="2"/>
  <c r="F111" i="2" s="1"/>
  <c r="H111" i="2" s="1"/>
  <c r="B113" i="2" l="1"/>
  <c r="C112" i="2"/>
  <c r="E112" i="2"/>
  <c r="F112" i="2" s="1"/>
  <c r="H112" i="2" s="1"/>
  <c r="B114" i="2" l="1"/>
  <c r="C113" i="2"/>
  <c r="E113" i="2"/>
  <c r="F113" i="2" s="1"/>
  <c r="H113" i="2" s="1"/>
  <c r="B115" i="2" l="1"/>
  <c r="C114" i="2"/>
  <c r="E114" i="2"/>
  <c r="F114" i="2" s="1"/>
  <c r="H114" i="2" s="1"/>
  <c r="B116" i="2" l="1"/>
  <c r="C115" i="2"/>
  <c r="E115" i="2"/>
  <c r="F115" i="2" s="1"/>
  <c r="H115" i="2" s="1"/>
  <c r="B117" i="2" l="1"/>
  <c r="C116" i="2"/>
  <c r="E116" i="2" s="1"/>
  <c r="F116" i="2" s="1"/>
  <c r="H116" i="2" s="1"/>
  <c r="B118" i="2" l="1"/>
  <c r="C117" i="2"/>
  <c r="E117" i="2" s="1"/>
  <c r="F117" i="2" s="1"/>
  <c r="H117" i="2" s="1"/>
  <c r="B119" i="2" l="1"/>
  <c r="C118" i="2"/>
  <c r="E118" i="2" s="1"/>
  <c r="F118" i="2" s="1"/>
  <c r="H118" i="2" s="1"/>
  <c r="B120" i="2" l="1"/>
  <c r="C119" i="2"/>
  <c r="E119" i="2" s="1"/>
  <c r="F119" i="2" s="1"/>
  <c r="H119" i="2" s="1"/>
  <c r="B121" i="2" l="1"/>
  <c r="C120" i="2"/>
  <c r="E120" i="2" s="1"/>
  <c r="F120" i="2" s="1"/>
  <c r="H120" i="2" s="1"/>
  <c r="B122" i="2" l="1"/>
  <c r="C121" i="2"/>
  <c r="E121" i="2" s="1"/>
  <c r="F121" i="2" s="1"/>
  <c r="H121" i="2" s="1"/>
  <c r="B123" i="2" l="1"/>
  <c r="C122" i="2"/>
  <c r="E122" i="2" s="1"/>
  <c r="F122" i="2" s="1"/>
  <c r="H122" i="2" s="1"/>
  <c r="B124" i="2" l="1"/>
  <c r="C123" i="2"/>
  <c r="E123" i="2"/>
  <c r="F123" i="2" s="1"/>
  <c r="H123" i="2" s="1"/>
  <c r="B125" i="2" l="1"/>
  <c r="C124" i="2"/>
  <c r="E124" i="2"/>
  <c r="F124" i="2" s="1"/>
  <c r="H124" i="2" s="1"/>
  <c r="B126" i="2" l="1"/>
  <c r="C125" i="2"/>
  <c r="E125" i="2"/>
  <c r="F125" i="2" s="1"/>
  <c r="H125" i="2" s="1"/>
  <c r="B127" i="2" l="1"/>
  <c r="C126" i="2"/>
  <c r="E126" i="2"/>
  <c r="F126" i="2" s="1"/>
  <c r="H126" i="2" s="1"/>
  <c r="B128" i="2" l="1"/>
  <c r="C127" i="2"/>
  <c r="E127" i="2"/>
  <c r="F127" i="2" s="1"/>
  <c r="H127" i="2" s="1"/>
  <c r="B129" i="2" l="1"/>
  <c r="C128" i="2"/>
  <c r="E128" i="2"/>
  <c r="F128" i="2" s="1"/>
  <c r="H128" i="2" s="1"/>
  <c r="B130" i="2" l="1"/>
  <c r="C129" i="2"/>
  <c r="E129" i="2" s="1"/>
  <c r="F129" i="2" s="1"/>
  <c r="H129" i="2" s="1"/>
  <c r="B131" i="2" l="1"/>
  <c r="C130" i="2"/>
  <c r="E130" i="2" s="1"/>
  <c r="F130" i="2" s="1"/>
  <c r="H130" i="2" s="1"/>
  <c r="B132" i="2" l="1"/>
  <c r="C131" i="2"/>
  <c r="E131" i="2" s="1"/>
  <c r="F131" i="2" s="1"/>
  <c r="H131" i="2" s="1"/>
  <c r="B133" i="2" l="1"/>
  <c r="C132" i="2"/>
  <c r="E132" i="2" s="1"/>
  <c r="F132" i="2" s="1"/>
  <c r="H132" i="2" s="1"/>
  <c r="B134" i="2" l="1"/>
  <c r="C133" i="2"/>
  <c r="E133" i="2" s="1"/>
  <c r="F133" i="2" s="1"/>
  <c r="H133" i="2" s="1"/>
  <c r="B135" i="2" l="1"/>
  <c r="C134" i="2"/>
  <c r="E134" i="2" s="1"/>
  <c r="F134" i="2" s="1"/>
  <c r="H134" i="2" s="1"/>
  <c r="B136" i="2" l="1"/>
  <c r="C135" i="2"/>
  <c r="E135" i="2"/>
  <c r="F135" i="2" s="1"/>
  <c r="H135" i="2" s="1"/>
  <c r="B137" i="2" l="1"/>
  <c r="C136" i="2"/>
  <c r="E136" i="2"/>
  <c r="F136" i="2" s="1"/>
  <c r="H136" i="2" s="1"/>
  <c r="B138" i="2" l="1"/>
  <c r="C137" i="2"/>
  <c r="E137" i="2"/>
  <c r="F137" i="2" s="1"/>
  <c r="H137" i="2" s="1"/>
  <c r="B139" i="2" l="1"/>
  <c r="C138" i="2"/>
  <c r="E138" i="2"/>
  <c r="F138" i="2" s="1"/>
  <c r="H138" i="2" s="1"/>
  <c r="B140" i="2" l="1"/>
  <c r="C139" i="2"/>
  <c r="E139" i="2"/>
  <c r="F139" i="2" s="1"/>
  <c r="H139" i="2" s="1"/>
  <c r="B141" i="2" l="1"/>
  <c r="C140" i="2"/>
  <c r="E140" i="2"/>
  <c r="F140" i="2" s="1"/>
  <c r="H140" i="2" s="1"/>
  <c r="B142" i="2" l="1"/>
  <c r="C141" i="2"/>
  <c r="E141" i="2" s="1"/>
  <c r="F141" i="2" s="1"/>
  <c r="H141" i="2" s="1"/>
  <c r="B143" i="2" l="1"/>
  <c r="C142" i="2"/>
  <c r="E142" i="2" s="1"/>
  <c r="F142" i="2" s="1"/>
  <c r="H142" i="2" s="1"/>
  <c r="B144" i="2" l="1"/>
  <c r="C143" i="2"/>
  <c r="E143" i="2" s="1"/>
  <c r="F143" i="2" s="1"/>
  <c r="H143" i="2" s="1"/>
  <c r="B145" i="2" l="1"/>
  <c r="C144" i="2"/>
  <c r="E144" i="2" s="1"/>
  <c r="F144" i="2" s="1"/>
  <c r="H144" i="2" s="1"/>
  <c r="B146" i="2" l="1"/>
  <c r="C145" i="2"/>
  <c r="E145" i="2" s="1"/>
  <c r="F145" i="2" s="1"/>
  <c r="H145" i="2" s="1"/>
  <c r="B147" i="2" l="1"/>
  <c r="C146" i="2"/>
  <c r="E146" i="2" s="1"/>
  <c r="F146" i="2" s="1"/>
  <c r="H146" i="2" s="1"/>
  <c r="B148" i="2" l="1"/>
  <c r="C147" i="2"/>
  <c r="E147" i="2" s="1"/>
  <c r="F147" i="2" s="1"/>
  <c r="H147" i="2" s="1"/>
  <c r="B149" i="2" l="1"/>
  <c r="C148" i="2"/>
  <c r="E148" i="2"/>
  <c r="F148" i="2" s="1"/>
  <c r="H148" i="2" s="1"/>
  <c r="B150" i="2" l="1"/>
  <c r="C149" i="2"/>
  <c r="E149" i="2"/>
  <c r="F149" i="2" s="1"/>
  <c r="H149" i="2" s="1"/>
  <c r="B151" i="2" l="1"/>
  <c r="C150" i="2"/>
  <c r="E150" i="2"/>
  <c r="F150" i="2" s="1"/>
  <c r="H150" i="2" s="1"/>
  <c r="B152" i="2" l="1"/>
  <c r="C151" i="2"/>
  <c r="E151" i="2"/>
  <c r="F151" i="2" s="1"/>
  <c r="H151" i="2" s="1"/>
  <c r="B153" i="2" l="1"/>
  <c r="C152" i="2"/>
  <c r="E152" i="2"/>
  <c r="F152" i="2" s="1"/>
  <c r="H152" i="2" s="1"/>
  <c r="B154" i="2" l="1"/>
  <c r="C153" i="2"/>
  <c r="E153" i="2" s="1"/>
  <c r="F153" i="2" s="1"/>
  <c r="H153" i="2" s="1"/>
  <c r="B155" i="2" l="1"/>
  <c r="C154" i="2"/>
  <c r="E154" i="2" s="1"/>
  <c r="F154" i="2" s="1"/>
  <c r="H154" i="2" s="1"/>
  <c r="B156" i="2" l="1"/>
  <c r="C155" i="2"/>
  <c r="E155" i="2" s="1"/>
  <c r="F155" i="2" s="1"/>
  <c r="H155" i="2" s="1"/>
  <c r="B157" i="2" l="1"/>
  <c r="C156" i="2"/>
  <c r="E156" i="2" s="1"/>
  <c r="F156" i="2" s="1"/>
  <c r="H156" i="2" s="1"/>
  <c r="B158" i="2" l="1"/>
  <c r="C157" i="2"/>
  <c r="E157" i="2" s="1"/>
  <c r="F157" i="2" s="1"/>
  <c r="H157" i="2" s="1"/>
  <c r="B159" i="2" l="1"/>
  <c r="C158" i="2"/>
  <c r="E158" i="2" s="1"/>
  <c r="F158" i="2" s="1"/>
  <c r="H158" i="2" s="1"/>
  <c r="B160" i="2" l="1"/>
  <c r="C159" i="2"/>
  <c r="E159" i="2"/>
  <c r="F159" i="2" s="1"/>
  <c r="H159" i="2" s="1"/>
  <c r="B161" i="2" l="1"/>
  <c r="C160" i="2"/>
  <c r="E160" i="2" s="1"/>
  <c r="F160" i="2" s="1"/>
  <c r="H160" i="2" s="1"/>
  <c r="B162" i="2" l="1"/>
  <c r="C161" i="2"/>
  <c r="E161" i="2"/>
  <c r="F161" i="2" s="1"/>
  <c r="H161" i="2" s="1"/>
  <c r="B163" i="2" l="1"/>
  <c r="C162" i="2"/>
  <c r="E162" i="2" s="1"/>
  <c r="F162" i="2" s="1"/>
  <c r="H162" i="2" s="1"/>
  <c r="B164" i="2" l="1"/>
  <c r="C163" i="2"/>
  <c r="E163" i="2"/>
  <c r="F163" i="2" s="1"/>
  <c r="H163" i="2" s="1"/>
  <c r="B165" i="2" l="1"/>
  <c r="C164" i="2"/>
  <c r="E164" i="2"/>
  <c r="F164" i="2" s="1"/>
  <c r="H164" i="2" s="1"/>
  <c r="B166" i="2" l="1"/>
  <c r="C165" i="2"/>
  <c r="E165" i="2" s="1"/>
  <c r="F165" i="2" s="1"/>
  <c r="H165" i="2" s="1"/>
  <c r="B167" i="2" l="1"/>
  <c r="C166" i="2"/>
  <c r="E166" i="2" s="1"/>
  <c r="F166" i="2" s="1"/>
  <c r="H166" i="2" s="1"/>
  <c r="B168" i="2" l="1"/>
  <c r="C167" i="2"/>
  <c r="E167" i="2" s="1"/>
  <c r="F167" i="2" s="1"/>
  <c r="H167" i="2" s="1"/>
  <c r="B169" i="2" l="1"/>
  <c r="C168" i="2"/>
  <c r="E168" i="2" s="1"/>
  <c r="F168" i="2" s="1"/>
  <c r="H168" i="2" s="1"/>
  <c r="B170" i="2" l="1"/>
  <c r="C169" i="2"/>
  <c r="E169" i="2" s="1"/>
  <c r="F169" i="2" s="1"/>
  <c r="H169" i="2" s="1"/>
  <c r="B171" i="2" l="1"/>
  <c r="C170" i="2"/>
  <c r="E170" i="2" s="1"/>
  <c r="F170" i="2" s="1"/>
  <c r="H170" i="2" s="1"/>
  <c r="B172" i="2" l="1"/>
  <c r="C171" i="2"/>
  <c r="E171" i="2"/>
  <c r="F171" i="2" s="1"/>
  <c r="H171" i="2" s="1"/>
  <c r="B173" i="2" l="1"/>
  <c r="C172" i="2"/>
  <c r="E172" i="2"/>
  <c r="F172" i="2" s="1"/>
  <c r="H172" i="2" s="1"/>
  <c r="B174" i="2" l="1"/>
  <c r="C173" i="2"/>
  <c r="E173" i="2" s="1"/>
  <c r="F173" i="2" s="1"/>
  <c r="H173" i="2" s="1"/>
  <c r="B175" i="2" l="1"/>
  <c r="C174" i="2"/>
  <c r="E174" i="2"/>
  <c r="F174" i="2" s="1"/>
  <c r="H174" i="2" s="1"/>
  <c r="B176" i="2" l="1"/>
  <c r="C175" i="2"/>
  <c r="E175" i="2"/>
  <c r="F175" i="2" s="1"/>
  <c r="H175" i="2" s="1"/>
  <c r="B177" i="2" l="1"/>
  <c r="C176" i="2"/>
  <c r="E176" i="2"/>
  <c r="F176" i="2" s="1"/>
  <c r="H176" i="2" s="1"/>
  <c r="B178" i="2" l="1"/>
  <c r="C177" i="2"/>
  <c r="E177" i="2" s="1"/>
  <c r="F177" i="2" s="1"/>
  <c r="H177" i="2" s="1"/>
  <c r="B179" i="2" l="1"/>
  <c r="C178" i="2"/>
  <c r="E178" i="2" s="1"/>
  <c r="F178" i="2" s="1"/>
  <c r="H178" i="2" s="1"/>
  <c r="B180" i="2" l="1"/>
  <c r="C179" i="2"/>
  <c r="E179" i="2" s="1"/>
  <c r="F179" i="2" s="1"/>
  <c r="H179" i="2" s="1"/>
  <c r="B181" i="2" l="1"/>
  <c r="C180" i="2"/>
  <c r="E180" i="2" s="1"/>
  <c r="F180" i="2" s="1"/>
  <c r="H180" i="2" s="1"/>
  <c r="B182" i="2" l="1"/>
  <c r="C181" i="2"/>
  <c r="E181" i="2" s="1"/>
  <c r="F181" i="2" s="1"/>
  <c r="H181" i="2" s="1"/>
  <c r="B183" i="2" l="1"/>
  <c r="C182" i="2"/>
  <c r="E182" i="2" s="1"/>
  <c r="F182" i="2" s="1"/>
  <c r="H182" i="2" s="1"/>
  <c r="B184" i="2" l="1"/>
  <c r="E183" i="2"/>
  <c r="F183" i="2" s="1"/>
  <c r="H183" i="2" s="1"/>
  <c r="B185" i="2" l="1"/>
  <c r="E184" i="2"/>
  <c r="F184" i="2" s="1"/>
  <c r="H184" i="2" s="1"/>
  <c r="B186" i="2" l="1"/>
  <c r="E185" i="2"/>
  <c r="F185" i="2" s="1"/>
  <c r="H185" i="2" s="1"/>
  <c r="B187" i="2" l="1"/>
  <c r="E186" i="2"/>
  <c r="F186" i="2" s="1"/>
  <c r="H186" i="2" s="1"/>
  <c r="B188" i="2" l="1"/>
  <c r="E187" i="2"/>
  <c r="F187" i="2" s="1"/>
  <c r="H187" i="2" s="1"/>
  <c r="B189" i="2" l="1"/>
  <c r="E188" i="2"/>
  <c r="F188" i="2" s="1"/>
  <c r="H188" i="2" s="1"/>
  <c r="B190" i="2" l="1"/>
  <c r="E189" i="2"/>
  <c r="F189" i="2" s="1"/>
  <c r="H189" i="2" s="1"/>
  <c r="B191" i="2" l="1"/>
  <c r="E190" i="2"/>
  <c r="F190" i="2" s="1"/>
  <c r="H190" i="2" s="1"/>
  <c r="B192" i="2" l="1"/>
  <c r="E191" i="2"/>
  <c r="F191" i="2" s="1"/>
  <c r="H191" i="2" s="1"/>
  <c r="B193" i="2" l="1"/>
  <c r="E192" i="2"/>
  <c r="F192" i="2" s="1"/>
  <c r="H192" i="2" s="1"/>
  <c r="B194" i="2" l="1"/>
  <c r="E193" i="2"/>
  <c r="F193" i="2" s="1"/>
  <c r="H193" i="2" s="1"/>
  <c r="B195" i="2" l="1"/>
  <c r="E194" i="2"/>
  <c r="F194" i="2" s="1"/>
  <c r="H194" i="2" s="1"/>
  <c r="B196" i="2" l="1"/>
  <c r="E195" i="2"/>
  <c r="F195" i="2" s="1"/>
  <c r="H195" i="2" s="1"/>
  <c r="B197" i="2" l="1"/>
  <c r="E196" i="2"/>
  <c r="F196" i="2" s="1"/>
  <c r="H196" i="2" s="1"/>
  <c r="B198" i="2" l="1"/>
  <c r="E197" i="2"/>
  <c r="F197" i="2" s="1"/>
  <c r="H197" i="2" s="1"/>
  <c r="B199" i="2" l="1"/>
  <c r="E198" i="2"/>
  <c r="F198" i="2" s="1"/>
  <c r="H198" i="2" s="1"/>
  <c r="B200" i="2" l="1"/>
  <c r="E199" i="2"/>
  <c r="F199" i="2" s="1"/>
  <c r="H199" i="2" s="1"/>
  <c r="B201" i="2" l="1"/>
  <c r="E200" i="2"/>
  <c r="F200" i="2" s="1"/>
  <c r="H200" i="2" s="1"/>
  <c r="B202" i="2" l="1"/>
  <c r="E201" i="2"/>
  <c r="F201" i="2" s="1"/>
  <c r="H201" i="2" s="1"/>
  <c r="B203" i="2" l="1"/>
  <c r="E202" i="2"/>
  <c r="F202" i="2" s="1"/>
  <c r="H202" i="2" s="1"/>
  <c r="B204" i="2" l="1"/>
  <c r="E203" i="2"/>
  <c r="F203" i="2" s="1"/>
  <c r="H203" i="2" s="1"/>
  <c r="B205" i="2" l="1"/>
  <c r="E204" i="2"/>
  <c r="F204" i="2" s="1"/>
  <c r="H204" i="2" s="1"/>
  <c r="B206" i="2" l="1"/>
  <c r="E205" i="2"/>
  <c r="F205" i="2" s="1"/>
  <c r="H205" i="2" s="1"/>
  <c r="B207" i="2" l="1"/>
  <c r="E206" i="2"/>
  <c r="F206" i="2" s="1"/>
  <c r="H206" i="2" s="1"/>
  <c r="B208" i="2" l="1"/>
  <c r="E207" i="2"/>
  <c r="F207" i="2" s="1"/>
  <c r="H207" i="2" s="1"/>
  <c r="B209" i="2" l="1"/>
  <c r="E208" i="2"/>
  <c r="F208" i="2" s="1"/>
  <c r="H208" i="2" s="1"/>
  <c r="B210" i="2" l="1"/>
  <c r="E209" i="2"/>
  <c r="F209" i="2" s="1"/>
  <c r="H209" i="2" s="1"/>
  <c r="B211" i="2" l="1"/>
  <c r="E210" i="2"/>
  <c r="F210" i="2" s="1"/>
  <c r="H210" i="2" s="1"/>
  <c r="B212" i="2" l="1"/>
  <c r="E211" i="2"/>
  <c r="F211" i="2" s="1"/>
  <c r="H211" i="2" s="1"/>
  <c r="B213" i="2" l="1"/>
  <c r="E212" i="2"/>
  <c r="F212" i="2" s="1"/>
  <c r="H212" i="2" s="1"/>
  <c r="B214" i="2" l="1"/>
  <c r="E213" i="2"/>
  <c r="F213" i="2" s="1"/>
  <c r="H213" i="2" s="1"/>
  <c r="B215" i="2" l="1"/>
  <c r="E214" i="2"/>
  <c r="F214" i="2" s="1"/>
  <c r="H214" i="2" s="1"/>
  <c r="B216" i="2" l="1"/>
  <c r="E215" i="2"/>
  <c r="F215" i="2" s="1"/>
  <c r="H215" i="2" s="1"/>
  <c r="B217" i="2" l="1"/>
  <c r="E216" i="2"/>
  <c r="F216" i="2" s="1"/>
  <c r="H216" i="2" s="1"/>
  <c r="B218" i="2" l="1"/>
  <c r="E217" i="2"/>
  <c r="F217" i="2" s="1"/>
  <c r="H217" i="2" s="1"/>
  <c r="B219" i="2" l="1"/>
  <c r="E218" i="2"/>
  <c r="F218" i="2" s="1"/>
  <c r="H218" i="2" s="1"/>
  <c r="B220" i="2" l="1"/>
  <c r="E219" i="2"/>
  <c r="F219" i="2" s="1"/>
  <c r="H219" i="2" s="1"/>
  <c r="B221" i="2" l="1"/>
  <c r="E220" i="2"/>
  <c r="F220" i="2" s="1"/>
  <c r="H220" i="2" s="1"/>
  <c r="B222" i="2" l="1"/>
  <c r="E221" i="2"/>
  <c r="F221" i="2" s="1"/>
  <c r="H221" i="2" s="1"/>
  <c r="B223" i="2" l="1"/>
  <c r="E222" i="2"/>
  <c r="F222" i="2" s="1"/>
  <c r="H222" i="2" s="1"/>
  <c r="B224" i="2" l="1"/>
  <c r="E223" i="2"/>
  <c r="F223" i="2" s="1"/>
  <c r="H223" i="2" s="1"/>
  <c r="B225" i="2" l="1"/>
  <c r="E224" i="2"/>
  <c r="F224" i="2" s="1"/>
  <c r="H224" i="2" s="1"/>
  <c r="B226" i="2" l="1"/>
  <c r="E225" i="2"/>
  <c r="F225" i="2" s="1"/>
  <c r="H225" i="2" s="1"/>
  <c r="B227" i="2" l="1"/>
  <c r="E226" i="2"/>
  <c r="F226" i="2" s="1"/>
  <c r="H226" i="2" s="1"/>
  <c r="B228" i="2" l="1"/>
  <c r="E227" i="2"/>
  <c r="F227" i="2" s="1"/>
  <c r="H227" i="2" s="1"/>
  <c r="B229" i="2" l="1"/>
  <c r="E228" i="2"/>
  <c r="F228" i="2" s="1"/>
  <c r="H228" i="2" s="1"/>
  <c r="B230" i="2" l="1"/>
  <c r="E229" i="2"/>
  <c r="F229" i="2" s="1"/>
  <c r="H229" i="2" s="1"/>
  <c r="B231" i="2" l="1"/>
  <c r="E230" i="2"/>
  <c r="F230" i="2" s="1"/>
  <c r="H230" i="2" s="1"/>
  <c r="B232" i="2" l="1"/>
  <c r="E231" i="2"/>
  <c r="F231" i="2" s="1"/>
  <c r="H231" i="2" s="1"/>
  <c r="B233" i="2" l="1"/>
  <c r="E232" i="2"/>
  <c r="F232" i="2" s="1"/>
  <c r="H232" i="2" s="1"/>
  <c r="B234" i="2" l="1"/>
  <c r="E233" i="2"/>
  <c r="F233" i="2" s="1"/>
  <c r="H233" i="2" s="1"/>
  <c r="B235" i="2" l="1"/>
  <c r="E234" i="2"/>
  <c r="F234" i="2" s="1"/>
  <c r="H234" i="2" s="1"/>
  <c r="B236" i="2" l="1"/>
  <c r="E235" i="2"/>
  <c r="F235" i="2" s="1"/>
  <c r="H235" i="2" s="1"/>
  <c r="B237" i="2" l="1"/>
  <c r="E236" i="2"/>
  <c r="F236" i="2" s="1"/>
  <c r="H236" i="2" s="1"/>
  <c r="B238" i="2" l="1"/>
  <c r="E237" i="2"/>
  <c r="F237" i="2" s="1"/>
  <c r="H237" i="2" s="1"/>
  <c r="B239" i="2" l="1"/>
  <c r="E238" i="2"/>
  <c r="F238" i="2" s="1"/>
  <c r="H238" i="2" s="1"/>
  <c r="B240" i="2" l="1"/>
  <c r="E239" i="2"/>
  <c r="F239" i="2" s="1"/>
  <c r="H239" i="2" s="1"/>
  <c r="B241" i="2" l="1"/>
  <c r="E240" i="2"/>
  <c r="F240" i="2" s="1"/>
  <c r="H240" i="2" s="1"/>
  <c r="B242" i="2" l="1"/>
  <c r="E241" i="2"/>
  <c r="F241" i="2" s="1"/>
  <c r="H241" i="2" s="1"/>
  <c r="B243" i="2" l="1"/>
  <c r="E242" i="2"/>
  <c r="F242" i="2" s="1"/>
  <c r="H242" i="2" s="1"/>
  <c r="B244" i="2" l="1"/>
  <c r="E243" i="2"/>
  <c r="F243" i="2" s="1"/>
  <c r="H243" i="2" s="1"/>
  <c r="B245" i="2" l="1"/>
  <c r="E244" i="2"/>
  <c r="F244" i="2" s="1"/>
  <c r="H244" i="2" s="1"/>
  <c r="B246" i="2" l="1"/>
  <c r="E245" i="2"/>
  <c r="F245" i="2" s="1"/>
  <c r="H245" i="2" s="1"/>
  <c r="B247" i="2" l="1"/>
  <c r="E246" i="2"/>
  <c r="F246" i="2" s="1"/>
  <c r="H246" i="2" s="1"/>
  <c r="B248" i="2" l="1"/>
  <c r="E247" i="2"/>
  <c r="F247" i="2" s="1"/>
  <c r="H247" i="2" s="1"/>
  <c r="B249" i="2" l="1"/>
  <c r="E248" i="2"/>
  <c r="F248" i="2" s="1"/>
  <c r="H248" i="2" s="1"/>
  <c r="B250" i="2" l="1"/>
  <c r="E249" i="2"/>
  <c r="F249" i="2" s="1"/>
  <c r="H249" i="2" s="1"/>
  <c r="B251" i="2" l="1"/>
  <c r="E250" i="2"/>
  <c r="F250" i="2" s="1"/>
  <c r="H250" i="2" s="1"/>
  <c r="B252" i="2" l="1"/>
  <c r="E251" i="2"/>
  <c r="F251" i="2" s="1"/>
  <c r="H251" i="2" s="1"/>
  <c r="B253" i="2" l="1"/>
  <c r="E252" i="2"/>
  <c r="F252" i="2" s="1"/>
  <c r="H252" i="2" s="1"/>
  <c r="B254" i="2" l="1"/>
  <c r="E253" i="2"/>
  <c r="F253" i="2" s="1"/>
  <c r="H253" i="2" s="1"/>
  <c r="B255" i="2" l="1"/>
  <c r="E254" i="2"/>
  <c r="F254" i="2" s="1"/>
  <c r="H254" i="2" s="1"/>
  <c r="B256" i="2" l="1"/>
  <c r="E255" i="2"/>
  <c r="F255" i="2" s="1"/>
  <c r="H255" i="2" s="1"/>
  <c r="B257" i="2" l="1"/>
  <c r="E256" i="2"/>
  <c r="F256" i="2" s="1"/>
  <c r="H256" i="2" s="1"/>
  <c r="B258" i="2" l="1"/>
  <c r="E257" i="2"/>
  <c r="F257" i="2" s="1"/>
  <c r="H257" i="2" s="1"/>
  <c r="B259" i="2" l="1"/>
  <c r="E258" i="2"/>
  <c r="F258" i="2" s="1"/>
  <c r="H258" i="2" s="1"/>
  <c r="B260" i="2" l="1"/>
  <c r="E259" i="2"/>
  <c r="F259" i="2" s="1"/>
  <c r="H259" i="2" s="1"/>
  <c r="B261" i="2" l="1"/>
  <c r="E260" i="2"/>
  <c r="F260" i="2" s="1"/>
  <c r="H260" i="2" s="1"/>
  <c r="B262" i="2" l="1"/>
  <c r="E261" i="2"/>
  <c r="F261" i="2" s="1"/>
  <c r="H261" i="2" s="1"/>
  <c r="B263" i="2" l="1"/>
  <c r="E262" i="2"/>
  <c r="F262" i="2" s="1"/>
  <c r="H262" i="2" s="1"/>
  <c r="B264" i="2" l="1"/>
  <c r="E263" i="2"/>
  <c r="F263" i="2" s="1"/>
  <c r="H263" i="2" s="1"/>
  <c r="B265" i="2" l="1"/>
  <c r="E264" i="2"/>
  <c r="F264" i="2" s="1"/>
  <c r="H264" i="2" s="1"/>
  <c r="B266" i="2" l="1"/>
  <c r="E265" i="2"/>
  <c r="F265" i="2" s="1"/>
  <c r="H265" i="2" s="1"/>
  <c r="B267" i="2" l="1"/>
  <c r="E266" i="2"/>
  <c r="F266" i="2" s="1"/>
  <c r="H266" i="2" s="1"/>
  <c r="B268" i="2" l="1"/>
  <c r="E267" i="2"/>
  <c r="F267" i="2" s="1"/>
  <c r="H267" i="2" s="1"/>
  <c r="B269" i="2" l="1"/>
  <c r="E268" i="2"/>
  <c r="F268" i="2" s="1"/>
  <c r="H268" i="2" s="1"/>
  <c r="B270" i="2" l="1"/>
  <c r="E269" i="2"/>
  <c r="F269" i="2" s="1"/>
  <c r="H269" i="2" s="1"/>
  <c r="B271" i="2" l="1"/>
  <c r="E270" i="2"/>
  <c r="F270" i="2" s="1"/>
  <c r="H270" i="2" s="1"/>
  <c r="B272" i="2" l="1"/>
  <c r="E271" i="2"/>
  <c r="F271" i="2" s="1"/>
  <c r="H271" i="2" s="1"/>
  <c r="B273" i="2" l="1"/>
  <c r="E272" i="2"/>
  <c r="F272" i="2" s="1"/>
  <c r="H272" i="2" s="1"/>
  <c r="B274" i="2" l="1"/>
  <c r="E273" i="2"/>
  <c r="F273" i="2" s="1"/>
  <c r="H273" i="2" s="1"/>
  <c r="B275" i="2" l="1"/>
  <c r="E274" i="2"/>
  <c r="F274" i="2" s="1"/>
  <c r="H274" i="2" s="1"/>
  <c r="B276" i="2" l="1"/>
  <c r="E275" i="2"/>
  <c r="F275" i="2" s="1"/>
  <c r="H275" i="2" s="1"/>
  <c r="B277" i="2" l="1"/>
  <c r="E276" i="2"/>
  <c r="F276" i="2" s="1"/>
  <c r="H276" i="2" s="1"/>
  <c r="B278" i="2" l="1"/>
  <c r="E277" i="2"/>
  <c r="F277" i="2" s="1"/>
  <c r="H277" i="2" s="1"/>
  <c r="B279" i="2" l="1"/>
  <c r="E278" i="2"/>
  <c r="F278" i="2" s="1"/>
  <c r="H278" i="2" s="1"/>
  <c r="B280" i="2" l="1"/>
  <c r="E279" i="2"/>
  <c r="F279" i="2" s="1"/>
  <c r="H279" i="2" s="1"/>
  <c r="B281" i="2" l="1"/>
  <c r="E280" i="2"/>
  <c r="F280" i="2" s="1"/>
  <c r="H280" i="2" s="1"/>
  <c r="B282" i="2" l="1"/>
  <c r="E281" i="2"/>
  <c r="F281" i="2" s="1"/>
  <c r="H281" i="2" s="1"/>
  <c r="B283" i="2" l="1"/>
  <c r="E282" i="2"/>
  <c r="F282" i="2" s="1"/>
  <c r="H282" i="2" s="1"/>
  <c r="B284" i="2" l="1"/>
  <c r="E283" i="2"/>
  <c r="F283" i="2" s="1"/>
  <c r="H283" i="2" s="1"/>
  <c r="B285" i="2" l="1"/>
  <c r="E284" i="2"/>
  <c r="F284" i="2" s="1"/>
  <c r="H284" i="2" s="1"/>
  <c r="B286" i="2" l="1"/>
  <c r="E285" i="2"/>
  <c r="F285" i="2" s="1"/>
  <c r="H285" i="2" s="1"/>
  <c r="B287" i="2" l="1"/>
  <c r="E286" i="2"/>
  <c r="F286" i="2" s="1"/>
  <c r="H286" i="2" s="1"/>
  <c r="B288" i="2" l="1"/>
  <c r="E287" i="2"/>
  <c r="F287" i="2" s="1"/>
  <c r="H287" i="2" s="1"/>
  <c r="B289" i="2" l="1"/>
  <c r="E288" i="2"/>
  <c r="F288" i="2" s="1"/>
  <c r="H288" i="2" s="1"/>
  <c r="B290" i="2" l="1"/>
  <c r="E289" i="2"/>
  <c r="F289" i="2" s="1"/>
  <c r="H289" i="2" s="1"/>
  <c r="B291" i="2" l="1"/>
  <c r="E290" i="2"/>
  <c r="F290" i="2" s="1"/>
  <c r="H290" i="2" s="1"/>
  <c r="B292" i="2" l="1"/>
  <c r="E291" i="2"/>
  <c r="F291" i="2" s="1"/>
  <c r="H291" i="2" s="1"/>
  <c r="B293" i="2" l="1"/>
  <c r="E292" i="2"/>
  <c r="F292" i="2" s="1"/>
  <c r="H292" i="2" s="1"/>
  <c r="B294" i="2" l="1"/>
  <c r="E293" i="2"/>
  <c r="F293" i="2" s="1"/>
  <c r="H293" i="2" s="1"/>
  <c r="B295" i="2" l="1"/>
  <c r="E294" i="2"/>
  <c r="F294" i="2" s="1"/>
  <c r="H294" i="2" s="1"/>
  <c r="B296" i="2" l="1"/>
  <c r="E295" i="2"/>
  <c r="F295" i="2" s="1"/>
  <c r="H295" i="2" s="1"/>
  <c r="B297" i="2" l="1"/>
  <c r="E296" i="2"/>
  <c r="F296" i="2" s="1"/>
  <c r="H296" i="2" s="1"/>
  <c r="B298" i="2" l="1"/>
  <c r="E297" i="2"/>
  <c r="F297" i="2" s="1"/>
  <c r="H297" i="2" s="1"/>
  <c r="B299" i="2" l="1"/>
  <c r="E298" i="2"/>
  <c r="F298" i="2" s="1"/>
  <c r="H298" i="2" s="1"/>
  <c r="B300" i="2" l="1"/>
  <c r="E299" i="2"/>
  <c r="F299" i="2" s="1"/>
  <c r="H299" i="2" s="1"/>
  <c r="B301" i="2" l="1"/>
  <c r="E300" i="2"/>
  <c r="F300" i="2" s="1"/>
  <c r="H300" i="2" s="1"/>
  <c r="B302" i="2" l="1"/>
  <c r="E301" i="2"/>
  <c r="F301" i="2" s="1"/>
  <c r="H301" i="2" s="1"/>
  <c r="B303" i="2" l="1"/>
  <c r="E302" i="2"/>
  <c r="F302" i="2" s="1"/>
  <c r="H302" i="2" s="1"/>
  <c r="B304" i="2" l="1"/>
  <c r="E303" i="2"/>
  <c r="F303" i="2" s="1"/>
  <c r="H303" i="2" s="1"/>
  <c r="B305" i="2" l="1"/>
  <c r="E304" i="2"/>
  <c r="F304" i="2" s="1"/>
  <c r="H304" i="2" s="1"/>
  <c r="B306" i="2" l="1"/>
  <c r="E305" i="2"/>
  <c r="F305" i="2" s="1"/>
  <c r="H305" i="2" s="1"/>
  <c r="B307" i="2" l="1"/>
  <c r="E306" i="2"/>
  <c r="F306" i="2" s="1"/>
  <c r="H306" i="2" s="1"/>
  <c r="B308" i="2" l="1"/>
  <c r="E307" i="2"/>
  <c r="F307" i="2" s="1"/>
  <c r="H307" i="2" s="1"/>
  <c r="B309" i="2" l="1"/>
  <c r="E308" i="2"/>
  <c r="F308" i="2" s="1"/>
  <c r="H308" i="2" s="1"/>
  <c r="B310" i="2" l="1"/>
  <c r="E309" i="2"/>
  <c r="F309" i="2" s="1"/>
  <c r="H309" i="2" s="1"/>
  <c r="B311" i="2" l="1"/>
  <c r="E310" i="2"/>
  <c r="F310" i="2" s="1"/>
  <c r="H310" i="2" s="1"/>
  <c r="B312" i="2" l="1"/>
  <c r="E311" i="2"/>
  <c r="F311" i="2" s="1"/>
  <c r="H311" i="2" s="1"/>
  <c r="B313" i="2" l="1"/>
  <c r="E312" i="2"/>
  <c r="F312" i="2" s="1"/>
  <c r="H312" i="2" s="1"/>
  <c r="B314" i="2" l="1"/>
  <c r="E313" i="2"/>
  <c r="F313" i="2" s="1"/>
  <c r="H313" i="2" s="1"/>
  <c r="B315" i="2" l="1"/>
  <c r="E314" i="2"/>
  <c r="F314" i="2" s="1"/>
  <c r="H314" i="2" s="1"/>
  <c r="B316" i="2" l="1"/>
  <c r="E315" i="2"/>
  <c r="F315" i="2" s="1"/>
  <c r="H315" i="2" s="1"/>
  <c r="B317" i="2" l="1"/>
  <c r="E316" i="2"/>
  <c r="F316" i="2" s="1"/>
  <c r="H316" i="2" s="1"/>
  <c r="B318" i="2" l="1"/>
  <c r="E317" i="2"/>
  <c r="F317" i="2" s="1"/>
  <c r="H317" i="2" s="1"/>
  <c r="B319" i="2" l="1"/>
  <c r="E318" i="2"/>
  <c r="F318" i="2" s="1"/>
  <c r="H318" i="2" s="1"/>
  <c r="B320" i="2" l="1"/>
  <c r="E319" i="2"/>
  <c r="F319" i="2" s="1"/>
  <c r="H319" i="2" s="1"/>
  <c r="B321" i="2" l="1"/>
  <c r="E320" i="2"/>
  <c r="F320" i="2" s="1"/>
  <c r="H320" i="2" s="1"/>
  <c r="B322" i="2" l="1"/>
  <c r="E321" i="2"/>
  <c r="F321" i="2" s="1"/>
  <c r="H321" i="2" s="1"/>
  <c r="B323" i="2" l="1"/>
  <c r="E322" i="2"/>
  <c r="F322" i="2" s="1"/>
  <c r="H322" i="2" s="1"/>
  <c r="B324" i="2" l="1"/>
  <c r="E323" i="2"/>
  <c r="F323" i="2" s="1"/>
  <c r="H323" i="2" s="1"/>
  <c r="B325" i="2" l="1"/>
  <c r="E324" i="2"/>
  <c r="F324" i="2" s="1"/>
  <c r="H324" i="2" s="1"/>
  <c r="B326" i="2" l="1"/>
  <c r="E325" i="2"/>
  <c r="F325" i="2" s="1"/>
  <c r="H325" i="2" s="1"/>
  <c r="B327" i="2" l="1"/>
  <c r="E326" i="2"/>
  <c r="F326" i="2" s="1"/>
  <c r="H326" i="2" s="1"/>
  <c r="B328" i="2" l="1"/>
  <c r="E327" i="2"/>
  <c r="F327" i="2" s="1"/>
  <c r="H327" i="2" s="1"/>
  <c r="B329" i="2" l="1"/>
  <c r="E328" i="2"/>
  <c r="F328" i="2" s="1"/>
  <c r="H328" i="2" s="1"/>
  <c r="B330" i="2" l="1"/>
  <c r="E329" i="2"/>
  <c r="F329" i="2" s="1"/>
  <c r="H329" i="2" s="1"/>
  <c r="B331" i="2" l="1"/>
  <c r="E330" i="2"/>
  <c r="F330" i="2" s="1"/>
  <c r="H330" i="2" s="1"/>
  <c r="B332" i="2" l="1"/>
  <c r="E331" i="2"/>
  <c r="F331" i="2" s="1"/>
  <c r="H331" i="2" s="1"/>
  <c r="B333" i="2" l="1"/>
  <c r="E332" i="2"/>
  <c r="F332" i="2" s="1"/>
  <c r="H332" i="2" s="1"/>
  <c r="B334" i="2" l="1"/>
  <c r="E333" i="2"/>
  <c r="F333" i="2" s="1"/>
  <c r="H333" i="2" s="1"/>
  <c r="B335" i="2" l="1"/>
  <c r="E334" i="2"/>
  <c r="F334" i="2" s="1"/>
  <c r="H334" i="2" s="1"/>
  <c r="B336" i="2" l="1"/>
  <c r="E335" i="2"/>
  <c r="F335" i="2" s="1"/>
  <c r="H335" i="2" s="1"/>
  <c r="B337" i="2" l="1"/>
  <c r="E336" i="2"/>
  <c r="F336" i="2" s="1"/>
  <c r="H336" i="2" s="1"/>
  <c r="B338" i="2" l="1"/>
  <c r="E337" i="2"/>
  <c r="F337" i="2" s="1"/>
  <c r="H337" i="2" s="1"/>
  <c r="B339" i="2" l="1"/>
  <c r="E338" i="2"/>
  <c r="F338" i="2" s="1"/>
  <c r="H338" i="2" s="1"/>
  <c r="B340" i="2" l="1"/>
  <c r="E339" i="2"/>
  <c r="F339" i="2" s="1"/>
  <c r="H339" i="2" s="1"/>
  <c r="B341" i="2" l="1"/>
  <c r="E340" i="2"/>
  <c r="F340" i="2" s="1"/>
  <c r="H340" i="2" s="1"/>
  <c r="B342" i="2" l="1"/>
  <c r="E341" i="2"/>
  <c r="F341" i="2" s="1"/>
  <c r="H341" i="2" s="1"/>
  <c r="B343" i="2" l="1"/>
  <c r="E342" i="2"/>
  <c r="F342" i="2" s="1"/>
  <c r="H342" i="2" s="1"/>
  <c r="B344" i="2" l="1"/>
  <c r="E343" i="2"/>
  <c r="F343" i="2" s="1"/>
  <c r="H343" i="2" s="1"/>
  <c r="B345" i="2" l="1"/>
  <c r="E344" i="2"/>
  <c r="F344" i="2" s="1"/>
  <c r="H344" i="2" s="1"/>
  <c r="B346" i="2" l="1"/>
  <c r="E345" i="2"/>
  <c r="F345" i="2" s="1"/>
  <c r="H345" i="2" s="1"/>
  <c r="B347" i="2" l="1"/>
  <c r="E346" i="2"/>
  <c r="F346" i="2" s="1"/>
  <c r="H346" i="2" s="1"/>
  <c r="B348" i="2" l="1"/>
  <c r="E347" i="2"/>
  <c r="F347" i="2" s="1"/>
  <c r="H347" i="2" s="1"/>
  <c r="B349" i="2" l="1"/>
  <c r="E348" i="2"/>
  <c r="F348" i="2" s="1"/>
  <c r="H348" i="2" s="1"/>
  <c r="B350" i="2" l="1"/>
  <c r="E349" i="2"/>
  <c r="F349" i="2" s="1"/>
  <c r="H349" i="2" s="1"/>
  <c r="B351" i="2" l="1"/>
  <c r="E350" i="2"/>
  <c r="F350" i="2" s="1"/>
  <c r="H350" i="2" s="1"/>
  <c r="B352" i="2" l="1"/>
  <c r="E351" i="2"/>
  <c r="F351" i="2" s="1"/>
  <c r="H351" i="2" s="1"/>
  <c r="B353" i="2" l="1"/>
  <c r="E352" i="2"/>
  <c r="F352" i="2" s="1"/>
  <c r="H352" i="2" s="1"/>
  <c r="B354" i="2" l="1"/>
  <c r="E353" i="2"/>
  <c r="F353" i="2" s="1"/>
  <c r="H353" i="2" s="1"/>
  <c r="B355" i="2" l="1"/>
  <c r="E354" i="2"/>
  <c r="F354" i="2" s="1"/>
  <c r="H354" i="2" s="1"/>
  <c r="B356" i="2" l="1"/>
  <c r="E355" i="2"/>
  <c r="F355" i="2" s="1"/>
  <c r="H355" i="2" s="1"/>
  <c r="B357" i="2" l="1"/>
  <c r="E356" i="2"/>
  <c r="F356" i="2" s="1"/>
  <c r="H356" i="2" s="1"/>
  <c r="B358" i="2" l="1"/>
  <c r="E357" i="2"/>
  <c r="F357" i="2" s="1"/>
  <c r="H357" i="2" s="1"/>
  <c r="B359" i="2" l="1"/>
  <c r="E358" i="2"/>
  <c r="F358" i="2" s="1"/>
  <c r="H358" i="2" s="1"/>
  <c r="B360" i="2" l="1"/>
  <c r="E359" i="2"/>
  <c r="F359" i="2" s="1"/>
  <c r="H359" i="2" s="1"/>
  <c r="B361" i="2" l="1"/>
  <c r="E360" i="2"/>
  <c r="F360" i="2" s="1"/>
  <c r="H360" i="2" s="1"/>
  <c r="B362" i="2" l="1"/>
  <c r="E361" i="2"/>
  <c r="F361" i="2" s="1"/>
  <c r="H361" i="2" s="1"/>
  <c r="E362" i="2" l="1"/>
  <c r="F362" i="2" s="1"/>
  <c r="H362" i="2" s="1"/>
  <c r="B363" i="2"/>
  <c r="B364" i="2" l="1"/>
  <c r="C363" i="2"/>
  <c r="E363" i="2" s="1"/>
  <c r="F363" i="2" s="1"/>
  <c r="H363" i="2" s="1"/>
  <c r="B365" i="2" l="1"/>
  <c r="C364" i="2"/>
  <c r="E364" i="2" s="1"/>
  <c r="F364" i="2" s="1"/>
  <c r="H364" i="2" s="1"/>
  <c r="B366" i="2" l="1"/>
  <c r="C365" i="2"/>
  <c r="E365" i="2" s="1"/>
  <c r="F365" i="2" s="1"/>
  <c r="H365" i="2" s="1"/>
  <c r="B367" i="2" l="1"/>
  <c r="C366" i="2"/>
  <c r="E366" i="2" s="1"/>
  <c r="F366" i="2" s="1"/>
  <c r="H366" i="2" s="1"/>
  <c r="B368" i="2" l="1"/>
  <c r="C367" i="2"/>
  <c r="E367" i="2" s="1"/>
  <c r="F367" i="2" s="1"/>
  <c r="H367" i="2" s="1"/>
  <c r="B369" i="2" l="1"/>
  <c r="C368" i="2"/>
  <c r="E368" i="2" s="1"/>
  <c r="F368" i="2" s="1"/>
  <c r="H368" i="2" s="1"/>
  <c r="B370" i="2" l="1"/>
  <c r="C369" i="2"/>
  <c r="E369" i="2" s="1"/>
  <c r="F369" i="2" s="1"/>
  <c r="H369" i="2" s="1"/>
  <c r="B371" i="2" l="1"/>
  <c r="C370" i="2"/>
  <c r="E370" i="2" s="1"/>
  <c r="F370" i="2" s="1"/>
  <c r="H370" i="2" s="1"/>
  <c r="B372" i="2" l="1"/>
  <c r="C371" i="2"/>
  <c r="E371" i="2" s="1"/>
  <c r="F371" i="2" s="1"/>
  <c r="H371" i="2" s="1"/>
  <c r="B373" i="2" l="1"/>
  <c r="C372" i="2"/>
  <c r="E372" i="2" s="1"/>
  <c r="F372" i="2" s="1"/>
  <c r="H372" i="2" s="1"/>
  <c r="B374" i="2" l="1"/>
  <c r="C373" i="2"/>
  <c r="E373" i="2" s="1"/>
  <c r="F373" i="2" s="1"/>
  <c r="H373" i="2" s="1"/>
  <c r="B375" i="2" l="1"/>
  <c r="C374" i="2"/>
  <c r="E374" i="2" s="1"/>
  <c r="F374" i="2" s="1"/>
  <c r="H374" i="2" s="1"/>
  <c r="B376" i="2" l="1"/>
  <c r="C375" i="2"/>
  <c r="E375" i="2" s="1"/>
  <c r="F375" i="2" s="1"/>
  <c r="H375" i="2" s="1"/>
  <c r="B377" i="2" l="1"/>
  <c r="C376" i="2"/>
  <c r="E376" i="2" s="1"/>
  <c r="F376" i="2" s="1"/>
  <c r="H376" i="2" s="1"/>
  <c r="B378" i="2" l="1"/>
  <c r="C377" i="2"/>
  <c r="E377" i="2" s="1"/>
  <c r="F377" i="2" s="1"/>
  <c r="H377" i="2" s="1"/>
  <c r="B379" i="2" l="1"/>
  <c r="C378" i="2"/>
  <c r="E378" i="2" s="1"/>
  <c r="F378" i="2" s="1"/>
  <c r="H378" i="2" s="1"/>
  <c r="B380" i="2" l="1"/>
  <c r="C379" i="2"/>
  <c r="E379" i="2"/>
  <c r="F379" i="2" s="1"/>
  <c r="H379" i="2" s="1"/>
  <c r="B381" i="2" l="1"/>
  <c r="C380" i="2"/>
  <c r="E380" i="2" s="1"/>
  <c r="F380" i="2" s="1"/>
  <c r="H380" i="2" s="1"/>
  <c r="B382" i="2" l="1"/>
  <c r="C381" i="2"/>
  <c r="E381" i="2" s="1"/>
  <c r="F381" i="2" s="1"/>
  <c r="H381" i="2" s="1"/>
  <c r="B383" i="2" l="1"/>
  <c r="C382" i="2"/>
  <c r="E382" i="2" s="1"/>
  <c r="F382" i="2" s="1"/>
  <c r="H382" i="2" s="1"/>
  <c r="B384" i="2" l="1"/>
  <c r="C383" i="2"/>
  <c r="E383" i="2" s="1"/>
  <c r="F383" i="2" s="1"/>
  <c r="H383" i="2" s="1"/>
  <c r="B385" i="2" l="1"/>
  <c r="C384" i="2"/>
  <c r="E384" i="2" s="1"/>
  <c r="F384" i="2" s="1"/>
  <c r="H384" i="2" s="1"/>
  <c r="B386" i="2" l="1"/>
  <c r="C385" i="2"/>
  <c r="E385" i="2" s="1"/>
  <c r="F385" i="2" s="1"/>
  <c r="H385" i="2" s="1"/>
  <c r="B387" i="2" l="1"/>
  <c r="C386" i="2"/>
  <c r="E386" i="2" s="1"/>
  <c r="F386" i="2" s="1"/>
  <c r="H386" i="2" s="1"/>
  <c r="B388" i="2" l="1"/>
  <c r="C387" i="2"/>
  <c r="E387" i="2" s="1"/>
  <c r="F387" i="2" s="1"/>
  <c r="H387" i="2" s="1"/>
  <c r="B389" i="2" l="1"/>
  <c r="C388" i="2"/>
  <c r="E388" i="2" s="1"/>
  <c r="F388" i="2" s="1"/>
  <c r="H388" i="2" s="1"/>
  <c r="B390" i="2" l="1"/>
  <c r="C389" i="2"/>
  <c r="E389" i="2" s="1"/>
  <c r="F389" i="2" s="1"/>
  <c r="H389" i="2" s="1"/>
  <c r="B391" i="2" l="1"/>
  <c r="C390" i="2"/>
  <c r="E390" i="2" s="1"/>
  <c r="F390" i="2" s="1"/>
  <c r="H390" i="2" s="1"/>
  <c r="B392" i="2" l="1"/>
  <c r="C391" i="2"/>
  <c r="E391" i="2" s="1"/>
  <c r="F391" i="2" s="1"/>
  <c r="H391" i="2" s="1"/>
  <c r="B393" i="2" l="1"/>
  <c r="C392" i="2"/>
  <c r="E392" i="2" s="1"/>
  <c r="F392" i="2" s="1"/>
  <c r="H392" i="2" s="1"/>
  <c r="B394" i="2" l="1"/>
  <c r="C393" i="2"/>
  <c r="E393" i="2" s="1"/>
  <c r="F393" i="2" s="1"/>
  <c r="H393" i="2" s="1"/>
  <c r="B395" i="2" l="1"/>
  <c r="C394" i="2"/>
  <c r="E394" i="2" s="1"/>
  <c r="F394" i="2" s="1"/>
  <c r="H394" i="2" s="1"/>
  <c r="B396" i="2" l="1"/>
  <c r="C395" i="2"/>
  <c r="E395" i="2" s="1"/>
  <c r="F395" i="2" s="1"/>
  <c r="H395" i="2" s="1"/>
  <c r="B397" i="2" l="1"/>
  <c r="C396" i="2"/>
  <c r="E396" i="2" s="1"/>
  <c r="F396" i="2" s="1"/>
  <c r="H396" i="2" s="1"/>
  <c r="B398" i="2" l="1"/>
  <c r="C397" i="2"/>
  <c r="E397" i="2" s="1"/>
  <c r="F397" i="2" s="1"/>
  <c r="H397" i="2" s="1"/>
  <c r="B399" i="2" l="1"/>
  <c r="C398" i="2"/>
  <c r="E398" i="2" s="1"/>
  <c r="F398" i="2" s="1"/>
  <c r="H398" i="2" s="1"/>
  <c r="B400" i="2" l="1"/>
  <c r="C399" i="2"/>
  <c r="E399" i="2" s="1"/>
  <c r="F399" i="2" s="1"/>
  <c r="H399" i="2" s="1"/>
  <c r="B401" i="2" l="1"/>
  <c r="C400" i="2"/>
  <c r="E400" i="2" s="1"/>
  <c r="F400" i="2" s="1"/>
  <c r="H400" i="2" s="1"/>
  <c r="B402" i="2" l="1"/>
  <c r="C401" i="2"/>
  <c r="E401" i="2" s="1"/>
  <c r="F401" i="2" s="1"/>
  <c r="H401" i="2" s="1"/>
  <c r="B403" i="2" l="1"/>
  <c r="C402" i="2"/>
  <c r="E402" i="2" s="1"/>
  <c r="F402" i="2" s="1"/>
  <c r="H402" i="2" s="1"/>
  <c r="B404" i="2" l="1"/>
  <c r="C403" i="2"/>
  <c r="E403" i="2" s="1"/>
  <c r="F403" i="2" s="1"/>
  <c r="H403" i="2" s="1"/>
  <c r="B405" i="2" l="1"/>
  <c r="C404" i="2"/>
  <c r="E404" i="2" s="1"/>
  <c r="F404" i="2" s="1"/>
  <c r="H404" i="2" s="1"/>
  <c r="B406" i="2" l="1"/>
  <c r="C405" i="2"/>
  <c r="E405" i="2" s="1"/>
  <c r="F405" i="2" s="1"/>
  <c r="H405" i="2" s="1"/>
  <c r="B407" i="2" l="1"/>
  <c r="C406" i="2"/>
  <c r="E406" i="2" s="1"/>
  <c r="F406" i="2" s="1"/>
  <c r="H406" i="2" s="1"/>
  <c r="B408" i="2" l="1"/>
  <c r="C407" i="2"/>
  <c r="E407" i="2" s="1"/>
  <c r="F407" i="2" s="1"/>
  <c r="H407" i="2" s="1"/>
  <c r="B409" i="2" l="1"/>
  <c r="C408" i="2"/>
  <c r="E408" i="2" s="1"/>
  <c r="F408" i="2" s="1"/>
  <c r="H408" i="2" s="1"/>
  <c r="B410" i="2" l="1"/>
  <c r="C409" i="2"/>
  <c r="E409" i="2" s="1"/>
  <c r="F409" i="2" s="1"/>
  <c r="H409" i="2" s="1"/>
  <c r="B411" i="2" l="1"/>
  <c r="C410" i="2"/>
  <c r="E410" i="2" s="1"/>
  <c r="F410" i="2" s="1"/>
  <c r="H410" i="2" s="1"/>
  <c r="B412" i="2" l="1"/>
  <c r="C411" i="2"/>
  <c r="E411" i="2" s="1"/>
  <c r="F411" i="2" s="1"/>
  <c r="H411" i="2" s="1"/>
  <c r="B413" i="2" l="1"/>
  <c r="C412" i="2"/>
  <c r="E412" i="2" s="1"/>
  <c r="F412" i="2" s="1"/>
  <c r="H412" i="2" s="1"/>
  <c r="B414" i="2" l="1"/>
  <c r="C413" i="2"/>
  <c r="E413" i="2" s="1"/>
  <c r="F413" i="2" s="1"/>
  <c r="H413" i="2" s="1"/>
  <c r="B415" i="2" l="1"/>
  <c r="C414" i="2"/>
  <c r="E414" i="2" s="1"/>
  <c r="F414" i="2" s="1"/>
  <c r="H414" i="2" s="1"/>
  <c r="B416" i="2" l="1"/>
  <c r="C415" i="2"/>
  <c r="E415" i="2" s="1"/>
  <c r="F415" i="2" s="1"/>
  <c r="H415" i="2" s="1"/>
  <c r="B417" i="2" l="1"/>
  <c r="C416" i="2"/>
  <c r="E416" i="2" s="1"/>
  <c r="F416" i="2" s="1"/>
  <c r="H416" i="2" s="1"/>
  <c r="B418" i="2" l="1"/>
  <c r="C417" i="2"/>
  <c r="E417" i="2" s="1"/>
  <c r="F417" i="2" s="1"/>
  <c r="H417" i="2" s="1"/>
  <c r="B419" i="2" l="1"/>
  <c r="C418" i="2"/>
  <c r="E418" i="2" s="1"/>
  <c r="F418" i="2" s="1"/>
  <c r="H418" i="2" s="1"/>
  <c r="B420" i="2" l="1"/>
  <c r="C419" i="2"/>
  <c r="E419" i="2" s="1"/>
  <c r="F419" i="2" s="1"/>
  <c r="H419" i="2" s="1"/>
  <c r="B421" i="2" l="1"/>
  <c r="C420" i="2"/>
  <c r="E420" i="2" s="1"/>
  <c r="F420" i="2" s="1"/>
  <c r="H420" i="2" s="1"/>
  <c r="B422" i="2" l="1"/>
  <c r="C421" i="2"/>
  <c r="E421" i="2" s="1"/>
  <c r="F421" i="2" s="1"/>
  <c r="H421" i="2" s="1"/>
  <c r="B423" i="2" l="1"/>
  <c r="C422" i="2"/>
  <c r="E422" i="2" s="1"/>
  <c r="F422" i="2" s="1"/>
  <c r="H422" i="2" s="1"/>
  <c r="B424" i="2" l="1"/>
  <c r="C423" i="2"/>
  <c r="E423" i="2" s="1"/>
  <c r="F423" i="2" s="1"/>
  <c r="H423" i="2" s="1"/>
  <c r="B425" i="2" l="1"/>
  <c r="C424" i="2"/>
  <c r="E424" i="2" s="1"/>
  <c r="F424" i="2" s="1"/>
  <c r="H424" i="2" s="1"/>
  <c r="B426" i="2" l="1"/>
  <c r="C425" i="2"/>
  <c r="E425" i="2" s="1"/>
  <c r="F425" i="2" s="1"/>
  <c r="H425" i="2" s="1"/>
  <c r="B427" i="2" l="1"/>
  <c r="C426" i="2"/>
  <c r="E426" i="2" s="1"/>
  <c r="F426" i="2" s="1"/>
  <c r="H426" i="2" s="1"/>
  <c r="B428" i="2" l="1"/>
  <c r="C427" i="2"/>
  <c r="E427" i="2" s="1"/>
  <c r="F427" i="2" s="1"/>
  <c r="H427" i="2" s="1"/>
  <c r="B429" i="2" l="1"/>
  <c r="C428" i="2"/>
  <c r="E428" i="2" s="1"/>
  <c r="F428" i="2" s="1"/>
  <c r="H428" i="2" s="1"/>
  <c r="B430" i="2" l="1"/>
  <c r="C429" i="2"/>
  <c r="E429" i="2" s="1"/>
  <c r="F429" i="2" s="1"/>
  <c r="H429" i="2" s="1"/>
  <c r="B431" i="2" l="1"/>
  <c r="C430" i="2"/>
  <c r="E430" i="2" s="1"/>
  <c r="F430" i="2" s="1"/>
  <c r="H430" i="2" s="1"/>
  <c r="B432" i="2" l="1"/>
  <c r="C431" i="2"/>
  <c r="E431" i="2" s="1"/>
  <c r="F431" i="2" s="1"/>
  <c r="H431" i="2" s="1"/>
  <c r="B433" i="2" l="1"/>
  <c r="C432" i="2"/>
  <c r="E432" i="2" s="1"/>
  <c r="F432" i="2" s="1"/>
  <c r="H432" i="2" s="1"/>
  <c r="B434" i="2" l="1"/>
  <c r="C433" i="2"/>
  <c r="E433" i="2" s="1"/>
  <c r="F433" i="2" s="1"/>
  <c r="H433" i="2" s="1"/>
  <c r="B435" i="2" l="1"/>
  <c r="C434" i="2"/>
  <c r="E434" i="2" s="1"/>
  <c r="F434" i="2" s="1"/>
  <c r="H434" i="2" s="1"/>
  <c r="B436" i="2" l="1"/>
  <c r="C435" i="2"/>
  <c r="E435" i="2" s="1"/>
  <c r="F435" i="2" s="1"/>
  <c r="H435" i="2" s="1"/>
  <c r="B437" i="2" l="1"/>
  <c r="C436" i="2"/>
  <c r="E436" i="2" s="1"/>
  <c r="F436" i="2" s="1"/>
  <c r="H436" i="2" s="1"/>
  <c r="B438" i="2" l="1"/>
  <c r="C437" i="2"/>
  <c r="E437" i="2" s="1"/>
  <c r="F437" i="2" s="1"/>
  <c r="H437" i="2" s="1"/>
  <c r="B439" i="2" l="1"/>
  <c r="C438" i="2"/>
  <c r="E438" i="2" s="1"/>
  <c r="F438" i="2" s="1"/>
  <c r="H438" i="2" s="1"/>
  <c r="B440" i="2" l="1"/>
  <c r="C439" i="2"/>
  <c r="E439" i="2"/>
  <c r="F439" i="2" s="1"/>
  <c r="H439" i="2" s="1"/>
  <c r="B441" i="2" l="1"/>
  <c r="C440" i="2"/>
  <c r="E440" i="2" s="1"/>
  <c r="F440" i="2" s="1"/>
  <c r="H440" i="2" s="1"/>
  <c r="B442" i="2" l="1"/>
  <c r="C441" i="2"/>
  <c r="E441" i="2" s="1"/>
  <c r="F441" i="2" s="1"/>
  <c r="H441" i="2" s="1"/>
  <c r="B443" i="2" l="1"/>
  <c r="C442" i="2"/>
  <c r="E442" i="2" s="1"/>
  <c r="F442" i="2" s="1"/>
  <c r="H442" i="2" s="1"/>
  <c r="B444" i="2" l="1"/>
  <c r="C443" i="2"/>
  <c r="E443" i="2" s="1"/>
  <c r="F443" i="2" s="1"/>
  <c r="H443" i="2" s="1"/>
  <c r="B445" i="2" l="1"/>
  <c r="C444" i="2"/>
  <c r="E444" i="2" s="1"/>
  <c r="F444" i="2" s="1"/>
  <c r="H444" i="2" s="1"/>
  <c r="B446" i="2" l="1"/>
  <c r="C445" i="2"/>
  <c r="E445" i="2" s="1"/>
  <c r="F445" i="2" s="1"/>
  <c r="H445" i="2" s="1"/>
  <c r="B447" i="2" l="1"/>
  <c r="C446" i="2"/>
  <c r="E446" i="2" s="1"/>
  <c r="F446" i="2" s="1"/>
  <c r="H446" i="2" s="1"/>
  <c r="B448" i="2" l="1"/>
  <c r="C447" i="2"/>
  <c r="E447" i="2" s="1"/>
  <c r="F447" i="2" s="1"/>
  <c r="H447" i="2" s="1"/>
  <c r="B449" i="2" l="1"/>
  <c r="C448" i="2"/>
  <c r="E448" i="2" s="1"/>
  <c r="F448" i="2" s="1"/>
  <c r="H448" i="2" s="1"/>
  <c r="B450" i="2" l="1"/>
  <c r="C449" i="2"/>
  <c r="E449" i="2" s="1"/>
  <c r="F449" i="2" s="1"/>
  <c r="H449" i="2" s="1"/>
  <c r="B451" i="2" l="1"/>
  <c r="C450" i="2"/>
  <c r="E450" i="2" s="1"/>
  <c r="F450" i="2" s="1"/>
  <c r="H450" i="2" s="1"/>
  <c r="B452" i="2" l="1"/>
  <c r="C451" i="2"/>
  <c r="E451" i="2" s="1"/>
  <c r="F451" i="2" s="1"/>
  <c r="H451" i="2" s="1"/>
  <c r="B453" i="2" l="1"/>
  <c r="C452" i="2"/>
  <c r="E452" i="2" s="1"/>
  <c r="F452" i="2" s="1"/>
  <c r="H452" i="2" s="1"/>
  <c r="B454" i="2" l="1"/>
  <c r="C453" i="2"/>
  <c r="E453" i="2" s="1"/>
  <c r="F453" i="2" s="1"/>
  <c r="H453" i="2" s="1"/>
  <c r="B455" i="2" l="1"/>
  <c r="C454" i="2"/>
  <c r="E454" i="2" s="1"/>
  <c r="F454" i="2" s="1"/>
  <c r="H454" i="2" s="1"/>
  <c r="B456" i="2" l="1"/>
  <c r="C455" i="2"/>
  <c r="E455" i="2" s="1"/>
  <c r="F455" i="2" s="1"/>
  <c r="H455" i="2" s="1"/>
  <c r="B457" i="2" l="1"/>
  <c r="C456" i="2"/>
  <c r="E456" i="2" s="1"/>
  <c r="F456" i="2" s="1"/>
  <c r="H456" i="2" s="1"/>
  <c r="B458" i="2" l="1"/>
  <c r="C457" i="2"/>
  <c r="E457" i="2" s="1"/>
  <c r="F457" i="2" s="1"/>
  <c r="H457" i="2" s="1"/>
  <c r="B459" i="2" l="1"/>
  <c r="C458" i="2"/>
  <c r="E458" i="2" s="1"/>
  <c r="F458" i="2" s="1"/>
  <c r="H458" i="2" s="1"/>
  <c r="B460" i="2" l="1"/>
  <c r="C459" i="2"/>
  <c r="E459" i="2" s="1"/>
  <c r="F459" i="2" s="1"/>
  <c r="H459" i="2" s="1"/>
  <c r="B461" i="2" l="1"/>
  <c r="C460" i="2"/>
  <c r="E460" i="2" s="1"/>
  <c r="F460" i="2" s="1"/>
  <c r="H460" i="2" s="1"/>
  <c r="B462" i="2" l="1"/>
  <c r="C461" i="2"/>
  <c r="E461" i="2" s="1"/>
  <c r="F461" i="2" s="1"/>
  <c r="H461" i="2" s="1"/>
  <c r="B463" i="2" l="1"/>
  <c r="C462" i="2"/>
  <c r="E462" i="2" s="1"/>
  <c r="F462" i="2" s="1"/>
  <c r="H462" i="2" s="1"/>
  <c r="B464" i="2" l="1"/>
  <c r="C463" i="2"/>
  <c r="E463" i="2" s="1"/>
  <c r="F463" i="2" s="1"/>
  <c r="H463" i="2" s="1"/>
  <c r="B465" i="2" l="1"/>
  <c r="C464" i="2"/>
  <c r="E464" i="2" s="1"/>
  <c r="F464" i="2" s="1"/>
  <c r="H464" i="2" s="1"/>
  <c r="B466" i="2" l="1"/>
  <c r="C465" i="2"/>
  <c r="E465" i="2" s="1"/>
  <c r="F465" i="2" s="1"/>
  <c r="H465" i="2" s="1"/>
  <c r="B467" i="2" l="1"/>
  <c r="C466" i="2"/>
  <c r="E466" i="2" s="1"/>
  <c r="F466" i="2" s="1"/>
  <c r="H466" i="2" s="1"/>
  <c r="B468" i="2" l="1"/>
  <c r="C467" i="2"/>
  <c r="E467" i="2" s="1"/>
  <c r="F467" i="2" s="1"/>
  <c r="H467" i="2" s="1"/>
  <c r="B469" i="2" l="1"/>
  <c r="C468" i="2"/>
  <c r="E468" i="2" s="1"/>
  <c r="F468" i="2" s="1"/>
  <c r="H468" i="2" s="1"/>
  <c r="B470" i="2" l="1"/>
  <c r="C469" i="2"/>
  <c r="E469" i="2" s="1"/>
  <c r="F469" i="2" s="1"/>
  <c r="H469" i="2" s="1"/>
  <c r="B471" i="2" l="1"/>
  <c r="C470" i="2"/>
  <c r="E470" i="2" s="1"/>
  <c r="F470" i="2" s="1"/>
  <c r="H470" i="2" s="1"/>
  <c r="B472" i="2" l="1"/>
  <c r="C471" i="2"/>
  <c r="E471" i="2" s="1"/>
  <c r="F471" i="2" s="1"/>
  <c r="H471" i="2" s="1"/>
  <c r="B473" i="2" l="1"/>
  <c r="C472" i="2"/>
  <c r="E472" i="2" s="1"/>
  <c r="F472" i="2" s="1"/>
  <c r="H472" i="2" s="1"/>
  <c r="B474" i="2" l="1"/>
  <c r="C473" i="2"/>
  <c r="E473" i="2" s="1"/>
  <c r="F473" i="2" s="1"/>
  <c r="H473" i="2" s="1"/>
  <c r="B475" i="2" l="1"/>
  <c r="C474" i="2"/>
  <c r="E474" i="2" s="1"/>
  <c r="F474" i="2" s="1"/>
  <c r="H474" i="2" s="1"/>
  <c r="B476" i="2" l="1"/>
  <c r="C475" i="2"/>
  <c r="E475" i="2" s="1"/>
  <c r="F475" i="2" s="1"/>
  <c r="H475" i="2" s="1"/>
  <c r="B477" i="2" l="1"/>
  <c r="C476" i="2"/>
  <c r="E476" i="2" s="1"/>
  <c r="F476" i="2" s="1"/>
  <c r="H476" i="2" s="1"/>
  <c r="B478" i="2" l="1"/>
  <c r="C477" i="2"/>
  <c r="E477" i="2" s="1"/>
  <c r="F477" i="2" s="1"/>
  <c r="H477" i="2" s="1"/>
  <c r="B479" i="2" l="1"/>
  <c r="C478" i="2"/>
  <c r="E478" i="2" s="1"/>
  <c r="F478" i="2" s="1"/>
  <c r="H478" i="2" s="1"/>
  <c r="B480" i="2" l="1"/>
  <c r="C479" i="2"/>
  <c r="E479" i="2" s="1"/>
  <c r="F479" i="2" s="1"/>
  <c r="H479" i="2" s="1"/>
  <c r="B481" i="2" l="1"/>
  <c r="C480" i="2"/>
  <c r="E480" i="2" s="1"/>
  <c r="F480" i="2" s="1"/>
  <c r="H480" i="2" s="1"/>
  <c r="B482" i="2" l="1"/>
  <c r="C481" i="2"/>
  <c r="E481" i="2" s="1"/>
  <c r="F481" i="2" s="1"/>
  <c r="H481" i="2" s="1"/>
  <c r="B483" i="2" l="1"/>
  <c r="C482" i="2"/>
  <c r="E482" i="2" s="1"/>
  <c r="F482" i="2" s="1"/>
  <c r="H482" i="2" s="1"/>
  <c r="B484" i="2" l="1"/>
  <c r="C483" i="2"/>
  <c r="E483" i="2" s="1"/>
  <c r="F483" i="2" s="1"/>
  <c r="H483" i="2" s="1"/>
  <c r="B485" i="2" l="1"/>
  <c r="C484" i="2"/>
  <c r="E484" i="2" s="1"/>
  <c r="F484" i="2" s="1"/>
  <c r="H484" i="2" s="1"/>
  <c r="B486" i="2" l="1"/>
  <c r="C485" i="2"/>
  <c r="E485" i="2" s="1"/>
  <c r="F485" i="2" s="1"/>
  <c r="H485" i="2" s="1"/>
  <c r="B487" i="2" l="1"/>
  <c r="C486" i="2"/>
  <c r="E486" i="2" s="1"/>
  <c r="F486" i="2" s="1"/>
  <c r="H486" i="2" s="1"/>
  <c r="B488" i="2" l="1"/>
  <c r="C487" i="2"/>
  <c r="E487" i="2" s="1"/>
  <c r="F487" i="2" s="1"/>
  <c r="H487" i="2" s="1"/>
  <c r="B489" i="2" l="1"/>
  <c r="C488" i="2"/>
  <c r="E488" i="2" s="1"/>
  <c r="F488" i="2" s="1"/>
  <c r="H488" i="2" s="1"/>
  <c r="B490" i="2" l="1"/>
  <c r="C489" i="2"/>
  <c r="E489" i="2" s="1"/>
  <c r="F489" i="2" s="1"/>
  <c r="H489" i="2" s="1"/>
  <c r="B491" i="2" l="1"/>
  <c r="C490" i="2"/>
  <c r="E490" i="2" s="1"/>
  <c r="F490" i="2" s="1"/>
  <c r="H490" i="2" s="1"/>
  <c r="B492" i="2" l="1"/>
  <c r="C491" i="2"/>
  <c r="E491" i="2" s="1"/>
  <c r="F491" i="2" s="1"/>
  <c r="H491" i="2" s="1"/>
  <c r="B493" i="2" l="1"/>
  <c r="C492" i="2"/>
  <c r="E492" i="2" s="1"/>
  <c r="F492" i="2" s="1"/>
  <c r="H492" i="2" s="1"/>
  <c r="B494" i="2" l="1"/>
  <c r="C493" i="2"/>
  <c r="E493" i="2" s="1"/>
  <c r="F493" i="2" s="1"/>
  <c r="H493" i="2" s="1"/>
  <c r="B495" i="2" l="1"/>
  <c r="C494" i="2"/>
  <c r="E494" i="2" s="1"/>
  <c r="F494" i="2" s="1"/>
  <c r="H494" i="2" s="1"/>
  <c r="B496" i="2" l="1"/>
  <c r="C495" i="2"/>
  <c r="E495" i="2" s="1"/>
  <c r="F495" i="2" s="1"/>
  <c r="H495" i="2" s="1"/>
  <c r="B497" i="2" l="1"/>
  <c r="C496" i="2"/>
  <c r="E496" i="2" s="1"/>
  <c r="F496" i="2" s="1"/>
  <c r="H496" i="2" s="1"/>
  <c r="B498" i="2" l="1"/>
  <c r="C497" i="2"/>
  <c r="E497" i="2" s="1"/>
  <c r="F497" i="2" s="1"/>
  <c r="H497" i="2" s="1"/>
  <c r="B499" i="2" l="1"/>
  <c r="C498" i="2"/>
  <c r="E498" i="2" s="1"/>
  <c r="F498" i="2" s="1"/>
  <c r="H498" i="2" s="1"/>
  <c r="B500" i="2" l="1"/>
  <c r="C499" i="2"/>
  <c r="E499" i="2" s="1"/>
  <c r="F499" i="2" s="1"/>
  <c r="H499" i="2" s="1"/>
  <c r="B501" i="2" l="1"/>
  <c r="C500" i="2"/>
  <c r="E500" i="2" s="1"/>
  <c r="F500" i="2" s="1"/>
  <c r="H500" i="2" s="1"/>
  <c r="B502" i="2" l="1"/>
  <c r="C501" i="2"/>
  <c r="E501" i="2" s="1"/>
  <c r="F501" i="2" s="1"/>
  <c r="H501" i="2" s="1"/>
  <c r="B503" i="2" l="1"/>
  <c r="C502" i="2"/>
  <c r="E502" i="2" s="1"/>
  <c r="F502" i="2" s="1"/>
  <c r="H502" i="2" s="1"/>
  <c r="B504" i="2" l="1"/>
  <c r="C503" i="2"/>
  <c r="E503" i="2" s="1"/>
  <c r="F503" i="2" s="1"/>
  <c r="H503" i="2" s="1"/>
  <c r="B505" i="2" l="1"/>
  <c r="C504" i="2"/>
  <c r="E504" i="2" s="1"/>
  <c r="F504" i="2" s="1"/>
  <c r="H504" i="2" s="1"/>
  <c r="B506" i="2" l="1"/>
  <c r="C505" i="2"/>
  <c r="E505" i="2" s="1"/>
  <c r="F505" i="2" s="1"/>
  <c r="H505" i="2" s="1"/>
  <c r="B507" i="2" l="1"/>
  <c r="C506" i="2"/>
  <c r="E506" i="2" s="1"/>
  <c r="F506" i="2" s="1"/>
  <c r="H506" i="2" s="1"/>
  <c r="B508" i="2" l="1"/>
  <c r="C507" i="2"/>
  <c r="E507" i="2" s="1"/>
  <c r="F507" i="2" s="1"/>
  <c r="H507" i="2" s="1"/>
  <c r="B509" i="2" l="1"/>
  <c r="C508" i="2"/>
  <c r="E508" i="2" s="1"/>
  <c r="F508" i="2" s="1"/>
  <c r="H508" i="2" s="1"/>
  <c r="B510" i="2" l="1"/>
  <c r="C509" i="2"/>
  <c r="E509" i="2" s="1"/>
  <c r="F509" i="2" s="1"/>
  <c r="H509" i="2" s="1"/>
  <c r="B511" i="2" l="1"/>
  <c r="C510" i="2"/>
  <c r="E510" i="2" s="1"/>
  <c r="F510" i="2" s="1"/>
  <c r="H510" i="2" s="1"/>
  <c r="B512" i="2" l="1"/>
  <c r="C511" i="2"/>
  <c r="E511" i="2" s="1"/>
  <c r="F511" i="2" s="1"/>
  <c r="H511" i="2" s="1"/>
  <c r="B513" i="2" l="1"/>
  <c r="C512" i="2"/>
  <c r="E512" i="2" s="1"/>
  <c r="F512" i="2" s="1"/>
  <c r="H512" i="2" s="1"/>
  <c r="B514" i="2" l="1"/>
  <c r="C513" i="2"/>
  <c r="E513" i="2" s="1"/>
  <c r="F513" i="2" s="1"/>
  <c r="H513" i="2" s="1"/>
  <c r="B515" i="2" l="1"/>
  <c r="C514" i="2"/>
  <c r="E514" i="2" s="1"/>
  <c r="F514" i="2" s="1"/>
  <c r="H514" i="2" s="1"/>
  <c r="B516" i="2" l="1"/>
  <c r="C515" i="2"/>
  <c r="E515" i="2" s="1"/>
  <c r="F515" i="2" s="1"/>
  <c r="H515" i="2" s="1"/>
  <c r="B517" i="2" l="1"/>
  <c r="C516" i="2"/>
  <c r="E516" i="2" s="1"/>
  <c r="F516" i="2" s="1"/>
  <c r="H516" i="2" s="1"/>
  <c r="B518" i="2" l="1"/>
  <c r="C517" i="2"/>
  <c r="E517" i="2" s="1"/>
  <c r="F517" i="2" s="1"/>
  <c r="H517" i="2" s="1"/>
  <c r="B519" i="2" l="1"/>
  <c r="C518" i="2"/>
  <c r="E518" i="2" s="1"/>
  <c r="F518" i="2" s="1"/>
  <c r="H518" i="2" s="1"/>
  <c r="B520" i="2" l="1"/>
  <c r="C519" i="2"/>
  <c r="E519" i="2" s="1"/>
  <c r="F519" i="2" s="1"/>
  <c r="H519" i="2" s="1"/>
  <c r="B521" i="2" l="1"/>
  <c r="C520" i="2"/>
  <c r="E520" i="2" s="1"/>
  <c r="F520" i="2" s="1"/>
  <c r="H520" i="2" s="1"/>
  <c r="B522" i="2" l="1"/>
  <c r="C521" i="2"/>
  <c r="E521" i="2" s="1"/>
  <c r="F521" i="2" s="1"/>
  <c r="H521" i="2" s="1"/>
  <c r="B523" i="2" l="1"/>
  <c r="C522" i="2"/>
  <c r="E522" i="2" s="1"/>
  <c r="F522" i="2" s="1"/>
  <c r="H522" i="2" s="1"/>
  <c r="B524" i="2" l="1"/>
  <c r="C523" i="2"/>
  <c r="E523" i="2" s="1"/>
  <c r="F523" i="2" s="1"/>
  <c r="H523" i="2" s="1"/>
  <c r="B525" i="2" l="1"/>
  <c r="C524" i="2"/>
  <c r="E524" i="2" s="1"/>
  <c r="F524" i="2" s="1"/>
  <c r="H524" i="2" s="1"/>
  <c r="B526" i="2" l="1"/>
  <c r="C525" i="2"/>
  <c r="E525" i="2" s="1"/>
  <c r="F525" i="2" s="1"/>
  <c r="H525" i="2" s="1"/>
  <c r="B527" i="2" l="1"/>
  <c r="C526" i="2"/>
  <c r="E526" i="2" s="1"/>
  <c r="F526" i="2" s="1"/>
  <c r="H526" i="2" s="1"/>
  <c r="B528" i="2" l="1"/>
  <c r="C527" i="2"/>
  <c r="E527" i="2" s="1"/>
  <c r="F527" i="2" s="1"/>
  <c r="H527" i="2" s="1"/>
  <c r="B529" i="2" l="1"/>
  <c r="C528" i="2"/>
  <c r="E528" i="2" s="1"/>
  <c r="F528" i="2" s="1"/>
  <c r="H528" i="2" s="1"/>
  <c r="B530" i="2" l="1"/>
  <c r="C529" i="2"/>
  <c r="E529" i="2" s="1"/>
  <c r="F529" i="2" s="1"/>
  <c r="H529" i="2" s="1"/>
  <c r="B531" i="2" l="1"/>
  <c r="C530" i="2"/>
  <c r="E530" i="2" s="1"/>
  <c r="F530" i="2" s="1"/>
  <c r="H530" i="2" s="1"/>
  <c r="B532" i="2" l="1"/>
  <c r="C531" i="2"/>
  <c r="E531" i="2" s="1"/>
  <c r="F531" i="2" s="1"/>
  <c r="H531" i="2" s="1"/>
  <c r="B533" i="2" l="1"/>
  <c r="C532" i="2"/>
  <c r="E532" i="2" s="1"/>
  <c r="F532" i="2" s="1"/>
  <c r="H532" i="2" s="1"/>
  <c r="B534" i="2" l="1"/>
  <c r="C533" i="2"/>
  <c r="E533" i="2" s="1"/>
  <c r="F533" i="2" s="1"/>
  <c r="H533" i="2" s="1"/>
  <c r="B535" i="2" l="1"/>
  <c r="C534" i="2"/>
  <c r="E534" i="2" s="1"/>
  <c r="F534" i="2" s="1"/>
  <c r="H534" i="2" s="1"/>
  <c r="B536" i="2" l="1"/>
  <c r="C535" i="2"/>
  <c r="E535" i="2" s="1"/>
  <c r="F535" i="2" s="1"/>
  <c r="H535" i="2" s="1"/>
  <c r="B537" i="2" l="1"/>
  <c r="C536" i="2"/>
  <c r="E536" i="2" s="1"/>
  <c r="F536" i="2" s="1"/>
  <c r="H536" i="2" s="1"/>
  <c r="B538" i="2" l="1"/>
  <c r="C537" i="2"/>
  <c r="E537" i="2" s="1"/>
  <c r="F537" i="2" s="1"/>
  <c r="H537" i="2" s="1"/>
  <c r="B539" i="2" l="1"/>
  <c r="C538" i="2"/>
  <c r="E538" i="2" s="1"/>
  <c r="F538" i="2" s="1"/>
  <c r="H538" i="2" s="1"/>
  <c r="B540" i="2" l="1"/>
  <c r="C539" i="2"/>
  <c r="E539" i="2" s="1"/>
  <c r="F539" i="2" s="1"/>
  <c r="H539" i="2" s="1"/>
  <c r="B541" i="2" l="1"/>
  <c r="C540" i="2"/>
  <c r="E540" i="2" s="1"/>
  <c r="F540" i="2" s="1"/>
  <c r="H540" i="2" s="1"/>
  <c r="B542" i="2" l="1"/>
  <c r="C541" i="2"/>
  <c r="E541" i="2" s="1"/>
  <c r="F541" i="2" s="1"/>
  <c r="H541" i="2" s="1"/>
  <c r="C542" i="2" l="1"/>
  <c r="E542" i="2" s="1"/>
  <c r="F542" i="2" s="1"/>
  <c r="H542" i="2" s="1"/>
</calcChain>
</file>

<file path=xl/sharedStrings.xml><?xml version="1.0" encoding="utf-8"?>
<sst xmlns="http://schemas.openxmlformats.org/spreadsheetml/2006/main" count="44" uniqueCount="35">
  <si>
    <t>x</t>
  </si>
  <si>
    <t>Left/Right</t>
  </si>
  <si>
    <t>y</t>
  </si>
  <si>
    <t>Up/Down</t>
  </si>
  <si>
    <t>z</t>
  </si>
  <si>
    <t>Forward/Backward</t>
  </si>
  <si>
    <t>Marker 1</t>
  </si>
  <si>
    <t>Marker 2</t>
  </si>
  <si>
    <t>Marker 3</t>
  </si>
  <si>
    <t>Slope</t>
  </si>
  <si>
    <t>Intercept</t>
  </si>
  <si>
    <t>1 -&gt; 2</t>
  </si>
  <si>
    <t>2 -&gt; 3</t>
  </si>
  <si>
    <t>3 -&gt; 1</t>
  </si>
  <si>
    <t>Equations</t>
  </si>
  <si>
    <t>y = 2x-80</t>
  </si>
  <si>
    <t>y = 80</t>
  </si>
  <si>
    <t>y = -2x+120</t>
  </si>
  <si>
    <t>time</t>
  </si>
  <si>
    <t>vel</t>
  </si>
  <si>
    <t>rot</t>
  </si>
  <si>
    <t>UserForce</t>
  </si>
  <si>
    <t>Voltage1</t>
  </si>
  <si>
    <t>Voltage2</t>
  </si>
  <si>
    <t>Voltage3</t>
  </si>
  <si>
    <t>Variable</t>
  </si>
  <si>
    <t>Value</t>
  </si>
  <si>
    <t>Kayak Drag Coefficient</t>
  </si>
  <si>
    <t>Paddle Drag Coefficient</t>
  </si>
  <si>
    <t>Kayak Wetted Area</t>
  </si>
  <si>
    <t>Paddle Wetted Area</t>
  </si>
  <si>
    <t>Density of Water</t>
  </si>
  <si>
    <t>Mass of Paddle</t>
  </si>
  <si>
    <t>kg</t>
  </si>
  <si>
    <t>accel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</si>
</sst>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2" borderId="1" xfId="0" applyNumberFormat="1" applyFill="1" applyBorder="1"/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64" fontId="0" fillId="2" borderId="1" xfId="0" applyNumberFormat="1" applyFill="1" applyBorder="1"/>
    <xf numFmtId="164" fontId="0" fillId="0" borderId="1" xfId="0" applyNumberForma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4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63A8732A-E7EE-4CC5-A455-F77A65EE5F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Data!$A$2:$A$542</c:f>
              <c:numCache>
                <c:formatCode>0.00</c:formatCode>
                <c:ptCount val="54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</c:numCache>
            </c:numRef>
          </c:xVal>
          <c:yVal>
            <c:numRef>
              <c:f>Data!$H$2:$H$542</c:f>
              <c:numCache>
                <c:formatCode>0.00</c:formatCode>
                <c:ptCount val="541"/>
                <c:pt idx="0">
                  <c:v>0</c:v>
                </c:pt>
                <c:pt idx="1">
                  <c:v>44.83631357630064</c:v>
                </c:pt>
                <c:pt idx="2">
                  <c:v>44.916916166834888</c:v>
                </c:pt>
                <c:pt idx="3">
                  <c:v>45.271382123304861</c:v>
                </c:pt>
                <c:pt idx="4">
                  <c:v>45.621767558803654</c:v>
                </c:pt>
                <c:pt idx="5">
                  <c:v>45.968100604470905</c:v>
                </c:pt>
                <c:pt idx="6">
                  <c:v>46.310410456516777</c:v>
                </c:pt>
                <c:pt idx="7">
                  <c:v>46.648727296610346</c:v>
                </c:pt>
                <c:pt idx="8">
                  <c:v>46.983082215770025</c:v>
                </c:pt>
                <c:pt idx="9">
                  <c:v>47.313507141586889</c:v>
                </c:pt>
                <c:pt idx="10">
                  <c:v>47.640034768681183</c:v>
                </c:pt>
                <c:pt idx="11">
                  <c:v>47.962698492367892</c:v>
                </c:pt>
                <c:pt idx="12">
                  <c:v>48.281532345299787</c:v>
                </c:pt>
                <c:pt idx="13">
                  <c:v>48.596570937132327</c:v>
                </c:pt>
                <c:pt idx="14">
                  <c:v>48.907849397028556</c:v>
                </c:pt>
                <c:pt idx="15">
                  <c:v>49.215403318884704</c:v>
                </c:pt>
                <c:pt idx="16">
                  <c:v>49.519268709288539</c:v>
                </c:pt>
                <c:pt idx="17">
                  <c:v>49.819481937991519</c:v>
                </c:pt>
                <c:pt idx="18">
                  <c:v>50.11607969088881</c:v>
                </c:pt>
                <c:pt idx="19">
                  <c:v>50.409098925387312</c:v>
                </c:pt>
                <c:pt idx="20">
                  <c:v>50.698576828047372</c:v>
                </c:pt>
                <c:pt idx="21">
                  <c:v>50.9845507744622</c:v>
                </c:pt>
                <c:pt idx="22">
                  <c:v>51.267058291265997</c:v>
                </c:pt>
                <c:pt idx="23">
                  <c:v>51.546137020150468</c:v>
                </c:pt>
                <c:pt idx="24">
                  <c:v>51.821824683871334</c:v>
                </c:pt>
                <c:pt idx="25">
                  <c:v>52.09415905415036</c:v>
                </c:pt>
                <c:pt idx="26">
                  <c:v>52.363177921333801</c:v>
                </c:pt>
                <c:pt idx="27">
                  <c:v>52.628919065837074</c:v>
                </c:pt>
                <c:pt idx="28">
                  <c:v>52.891420231206276</c:v>
                </c:pt>
                <c:pt idx="29">
                  <c:v>53.150719098809496</c:v>
                </c:pt>
                <c:pt idx="30">
                  <c:v>53.406853263985226</c:v>
                </c:pt>
                <c:pt idx="31">
                  <c:v>53.659860213721082</c:v>
                </c:pt>
                <c:pt idx="32">
                  <c:v>53.909777305669948</c:v>
                </c:pt>
                <c:pt idx="33">
                  <c:v>54.156641748507901</c:v>
                </c:pt>
                <c:pt idx="34">
                  <c:v>54.400490583568512</c:v>
                </c:pt>
                <c:pt idx="35">
                  <c:v>54.641360667688474</c:v>
                </c:pt>
                <c:pt idx="36">
                  <c:v>54.879288657202665</c:v>
                </c:pt>
                <c:pt idx="37">
                  <c:v>55.114310993034131</c:v>
                </c:pt>
                <c:pt idx="38">
                  <c:v>55.346463886860882</c:v>
                </c:pt>
                <c:pt idx="39">
                  <c:v>55.575783308273259</c:v>
                </c:pt>
                <c:pt idx="40">
                  <c:v>55.802304972859211</c:v>
                </c:pt>
                <c:pt idx="41">
                  <c:v>56.026064331220731</c:v>
                </c:pt>
                <c:pt idx="42">
                  <c:v>56.247096558893269</c:v>
                </c:pt>
                <c:pt idx="43">
                  <c:v>56.465436546996848</c:v>
                </c:pt>
                <c:pt idx="44">
                  <c:v>56.681118893719116</c:v>
                </c:pt>
                <c:pt idx="45">
                  <c:v>56.894177896572735</c:v>
                </c:pt>
                <c:pt idx="46">
                  <c:v>57.104647545298434</c:v>
                </c:pt>
                <c:pt idx="47">
                  <c:v>57.312561515444358</c:v>
                </c:pt>
                <c:pt idx="48">
                  <c:v>57.517953162622518</c:v>
                </c:pt>
                <c:pt idx="49">
                  <c:v>57.720855517299348</c:v>
                </c:pt>
                <c:pt idx="50">
                  <c:v>57.921301280236101</c:v>
                </c:pt>
                <c:pt idx="51">
                  <c:v>58.119322818364388</c:v>
                </c:pt>
                <c:pt idx="52">
                  <c:v>58.314952161297356</c:v>
                </c:pt>
                <c:pt idx="53">
                  <c:v>58.508220998194894</c:v>
                </c:pt>
                <c:pt idx="54">
                  <c:v>58.699160675169615</c:v>
                </c:pt>
                <c:pt idx="55">
                  <c:v>58.887802193087744</c:v>
                </c:pt>
                <c:pt idx="56">
                  <c:v>59.074176205812925</c:v>
                </c:pt>
                <c:pt idx="57">
                  <c:v>59.258313018737169</c:v>
                </c:pt>
                <c:pt idx="58">
                  <c:v>59.44024258782629</c:v>
                </c:pt>
                <c:pt idx="59">
                  <c:v>59.619994518825564</c:v>
                </c:pt>
                <c:pt idx="60">
                  <c:v>59.797598066954642</c:v>
                </c:pt>
                <c:pt idx="61">
                  <c:v>59.973082136763786</c:v>
                </c:pt>
                <c:pt idx="62">
                  <c:v>60.146475282371867</c:v>
                </c:pt>
                <c:pt idx="63">
                  <c:v>60.317805707895616</c:v>
                </c:pt>
                <c:pt idx="64">
                  <c:v>60.487101268186457</c:v>
                </c:pt>
                <c:pt idx="65">
                  <c:v>60.654389469759167</c:v>
                </c:pt>
                <c:pt idx="66">
                  <c:v>60.819697471939733</c:v>
                </c:pt>
                <c:pt idx="67">
                  <c:v>60.983052088234174</c:v>
                </c:pt>
                <c:pt idx="68">
                  <c:v>61.144479787899023</c:v>
                </c:pt>
                <c:pt idx="69">
                  <c:v>61.304006697620196</c:v>
                </c:pt>
                <c:pt idx="70">
                  <c:v>61.461658603457764</c:v>
                </c:pt>
                <c:pt idx="71">
                  <c:v>61.617460952825205</c:v>
                </c:pt>
                <c:pt idx="72">
                  <c:v>61.771438856726029</c:v>
                </c:pt>
                <c:pt idx="73">
                  <c:v>61.923617092022035</c:v>
                </c:pt>
                <c:pt idx="74">
                  <c:v>62.074020103919999</c:v>
                </c:pt>
                <c:pt idx="75">
                  <c:v>62.222672008440355</c:v>
                </c:pt>
                <c:pt idx="76">
                  <c:v>62.369596595131284</c:v>
                </c:pt>
                <c:pt idx="77">
                  <c:v>62.514817329754031</c:v>
                </c:pt>
                <c:pt idx="78">
                  <c:v>62.658357357150798</c:v>
                </c:pt>
                <c:pt idx="79">
                  <c:v>62.800239504123226</c:v>
                </c:pt>
                <c:pt idx="80">
                  <c:v>62.940486282388235</c:v>
                </c:pt>
                <c:pt idx="81">
                  <c:v>63.07911989163955</c:v>
                </c:pt>
                <c:pt idx="82">
                  <c:v>63.216162222625343</c:v>
                </c:pt>
                <c:pt idx="83">
                  <c:v>63.351634860309396</c:v>
                </c:pt>
                <c:pt idx="84">
                  <c:v>63.485559087015432</c:v>
                </c:pt>
                <c:pt idx="85">
                  <c:v>63.617955885709435</c:v>
                </c:pt>
                <c:pt idx="86">
                  <c:v>63.748845943211485</c:v>
                </c:pt>
                <c:pt idx="87">
                  <c:v>63.878249653514743</c:v>
                </c:pt>
                <c:pt idx="88">
                  <c:v>64.006187121095465</c:v>
                </c:pt>
                <c:pt idx="89">
                  <c:v>64.132678164261677</c:v>
                </c:pt>
                <c:pt idx="90">
                  <c:v>64.257742318457801</c:v>
                </c:pt>
                <c:pt idx="91">
                  <c:v>64.381398839709576</c:v>
                </c:pt>
                <c:pt idx="92">
                  <c:v>64.50366670792458</c:v>
                </c:pt>
                <c:pt idx="93">
                  <c:v>64.624564630310488</c:v>
                </c:pt>
                <c:pt idx="94">
                  <c:v>64.744111044746276</c:v>
                </c:pt>
                <c:pt idx="95">
                  <c:v>64.86232412318337</c:v>
                </c:pt>
                <c:pt idx="96">
                  <c:v>64.979221774994215</c:v>
                </c:pt>
                <c:pt idx="97">
                  <c:v>65.094821650384205</c:v>
                </c:pt>
                <c:pt idx="98">
                  <c:v>65.209141143702269</c:v>
                </c:pt>
                <c:pt idx="99">
                  <c:v>65.32219739686002</c:v>
                </c:pt>
                <c:pt idx="100">
                  <c:v>65.434007302640026</c:v>
                </c:pt>
                <c:pt idx="101">
                  <c:v>65.544587508009968</c:v>
                </c:pt>
                <c:pt idx="102">
                  <c:v>65.65395441747124</c:v>
                </c:pt>
                <c:pt idx="103">
                  <c:v>65.762124196316563</c:v>
                </c:pt>
                <c:pt idx="104">
                  <c:v>65.869112773941566</c:v>
                </c:pt>
                <c:pt idx="105">
                  <c:v>65.974935847040655</c:v>
                </c:pt>
                <c:pt idx="106">
                  <c:v>66.079608882921235</c:v>
                </c:pt>
                <c:pt idx="107">
                  <c:v>66.183147122600332</c:v>
                </c:pt>
                <c:pt idx="108">
                  <c:v>66.285565584101448</c:v>
                </c:pt>
                <c:pt idx="109">
                  <c:v>66.386879065515345</c:v>
                </c:pt>
                <c:pt idx="110">
                  <c:v>66.487102148188143</c:v>
                </c:pt>
                <c:pt idx="111">
                  <c:v>66.586249199783254</c:v>
                </c:pt>
                <c:pt idx="112">
                  <c:v>66.684334377386676</c:v>
                </c:pt>
                <c:pt idx="113">
                  <c:v>66.781371630518933</c:v>
                </c:pt>
                <c:pt idx="114">
                  <c:v>66.877374704173491</c:v>
                </c:pt>
                <c:pt idx="115">
                  <c:v>66.972357141772846</c:v>
                </c:pt>
                <c:pt idx="116">
                  <c:v>67.066332288140131</c:v>
                </c:pt>
                <c:pt idx="117">
                  <c:v>67.159313292394131</c:v>
                </c:pt>
                <c:pt idx="118">
                  <c:v>67.251313110888447</c:v>
                </c:pt>
                <c:pt idx="119">
                  <c:v>67.342344509996394</c:v>
                </c:pt>
                <c:pt idx="120">
                  <c:v>67.432420068952183</c:v>
                </c:pt>
                <c:pt idx="121">
                  <c:v>67.521552182700987</c:v>
                </c:pt>
                <c:pt idx="122">
                  <c:v>67.609753064576879</c:v>
                </c:pt>
                <c:pt idx="123">
                  <c:v>67.697034749052932</c:v>
                </c:pt>
                <c:pt idx="124">
                  <c:v>67.783409094443698</c:v>
                </c:pt>
                <c:pt idx="125">
                  <c:v>67.868887785546832</c:v>
                </c:pt>
                <c:pt idx="126">
                  <c:v>67.953482336261402</c:v>
                </c:pt>
                <c:pt idx="127">
                  <c:v>68.03720409219234</c:v>
                </c:pt>
                <c:pt idx="128">
                  <c:v>68.120064233199642</c:v>
                </c:pt>
                <c:pt idx="129">
                  <c:v>68.202073775890739</c:v>
                </c:pt>
                <c:pt idx="130">
                  <c:v>68.283243576172922</c:v>
                </c:pt>
                <c:pt idx="131">
                  <c:v>68.36358433162134</c:v>
                </c:pt>
                <c:pt idx="132">
                  <c:v>68.443106583994322</c:v>
                </c:pt>
                <c:pt idx="133">
                  <c:v>68.52182072153856</c:v>
                </c:pt>
                <c:pt idx="134">
                  <c:v>68.59973698138802</c:v>
                </c:pt>
                <c:pt idx="135">
                  <c:v>68.676865451885305</c:v>
                </c:pt>
                <c:pt idx="136">
                  <c:v>68.753216074869712</c:v>
                </c:pt>
                <c:pt idx="137">
                  <c:v>68.828798647890835</c:v>
                </c:pt>
                <c:pt idx="138">
                  <c:v>68.903622826510656</c:v>
                </c:pt>
                <c:pt idx="139">
                  <c:v>68.977698126438057</c:v>
                </c:pt>
                <c:pt idx="140">
                  <c:v>69.051033925698803</c:v>
                </c:pt>
                <c:pt idx="141">
                  <c:v>69.123639466788305</c:v>
                </c:pt>
                <c:pt idx="142">
                  <c:v>69.195523858744252</c:v>
                </c:pt>
                <c:pt idx="143">
                  <c:v>69.266696079222754</c:v>
                </c:pt>
                <c:pt idx="144">
                  <c:v>69.337164976548806</c:v>
                </c:pt>
                <c:pt idx="145">
                  <c:v>69.40693927169454</c:v>
                </c:pt>
                <c:pt idx="146">
                  <c:v>69.476027560280983</c:v>
                </c:pt>
                <c:pt idx="147">
                  <c:v>69.544438314505612</c:v>
                </c:pt>
                <c:pt idx="148">
                  <c:v>69.612179885074596</c:v>
                </c:pt>
                <c:pt idx="149">
                  <c:v>69.679260503081849</c:v>
                </c:pt>
                <c:pt idx="150">
                  <c:v>69.745688281862556</c:v>
                </c:pt>
                <c:pt idx="151">
                  <c:v>69.811471218831699</c:v>
                </c:pt>
                <c:pt idx="152">
                  <c:v>69.876617197306899</c:v>
                </c:pt>
                <c:pt idx="153">
                  <c:v>69.941133988212115</c:v>
                </c:pt>
                <c:pt idx="154">
                  <c:v>70.005029251940897</c:v>
                </c:pt>
                <c:pt idx="155">
                  <c:v>70.06831053993352</c:v>
                </c:pt>
                <c:pt idx="156">
                  <c:v>70.130985296498253</c:v>
                </c:pt>
                <c:pt idx="157">
                  <c:v>70.193060860413098</c:v>
                </c:pt>
                <c:pt idx="158">
                  <c:v>70.254544466570763</c:v>
                </c:pt>
                <c:pt idx="159">
                  <c:v>70.315443247585961</c:v>
                </c:pt>
                <c:pt idx="160">
                  <c:v>70.3757642354269</c:v>
                </c:pt>
                <c:pt idx="161">
                  <c:v>70.435514362928259</c:v>
                </c:pt>
                <c:pt idx="162">
                  <c:v>70.494700465356033</c:v>
                </c:pt>
                <c:pt idx="163">
                  <c:v>70.553329281943746</c:v>
                </c:pt>
                <c:pt idx="164">
                  <c:v>70.611407457313717</c:v>
                </c:pt>
                <c:pt idx="165">
                  <c:v>70.668941543006383</c:v>
                </c:pt>
                <c:pt idx="166">
                  <c:v>70.725937998933247</c:v>
                </c:pt>
                <c:pt idx="167">
                  <c:v>70.782403194724992</c:v>
                </c:pt>
                <c:pt idx="168">
                  <c:v>70.838343411197656</c:v>
                </c:pt>
                <c:pt idx="169">
                  <c:v>70.893764841712425</c:v>
                </c:pt>
                <c:pt idx="170">
                  <c:v>70.948673593480748</c:v>
                </c:pt>
                <c:pt idx="171">
                  <c:v>71.003075688974732</c:v>
                </c:pt>
                <c:pt idx="172">
                  <c:v>71.056977067189862</c:v>
                </c:pt>
                <c:pt idx="173">
                  <c:v>71.110383584903275</c:v>
                </c:pt>
                <c:pt idx="174">
                  <c:v>71.163301018036321</c:v>
                </c:pt>
                <c:pt idx="175">
                  <c:v>71.215735062787587</c:v>
                </c:pt>
                <c:pt idx="176">
                  <c:v>71.267691336973414</c:v>
                </c:pt>
                <c:pt idx="177">
                  <c:v>71.319175381114675</c:v>
                </c:pt>
                <c:pt idx="178">
                  <c:v>71.370192659742131</c:v>
                </c:pt>
                <c:pt idx="179">
                  <c:v>71.42074856249333</c:v>
                </c:pt>
                <c:pt idx="180">
                  <c:v>71.470848405266324</c:v>
                </c:pt>
                <c:pt idx="181">
                  <c:v>31.591494579594169</c:v>
                </c:pt>
                <c:pt idx="182">
                  <c:v>31.576084945040808</c:v>
                </c:pt>
                <c:pt idx="183">
                  <c:v>31.442579153952693</c:v>
                </c:pt>
                <c:pt idx="184">
                  <c:v>31.308521868221867</c:v>
                </c:pt>
                <c:pt idx="185">
                  <c:v>31.173913265809869</c:v>
                </c:pt>
                <c:pt idx="186">
                  <c:v>31.038753586447378</c:v>
                </c:pt>
                <c:pt idx="187">
                  <c:v>30.903043132867388</c:v>
                </c:pt>
                <c:pt idx="188">
                  <c:v>30.766782272086612</c:v>
                </c:pt>
                <c:pt idx="189">
                  <c:v>30.629971436666377</c:v>
                </c:pt>
                <c:pt idx="190">
                  <c:v>30.492611126077879</c:v>
                </c:pt>
                <c:pt idx="191">
                  <c:v>30.354701907932853</c:v>
                </c:pt>
                <c:pt idx="192">
                  <c:v>30.216244419390154</c:v>
                </c:pt>
                <c:pt idx="193">
                  <c:v>30.077239368453579</c:v>
                </c:pt>
                <c:pt idx="194">
                  <c:v>29.937687535357835</c:v>
                </c:pt>
                <c:pt idx="195">
                  <c:v>29.797589773917441</c:v>
                </c:pt>
                <c:pt idx="196">
                  <c:v>29.656947012951097</c:v>
                </c:pt>
                <c:pt idx="197">
                  <c:v>29.515760257649902</c:v>
                </c:pt>
                <c:pt idx="198">
                  <c:v>29.374030591020311</c:v>
                </c:pt>
                <c:pt idx="199">
                  <c:v>29.231759175292826</c:v>
                </c:pt>
                <c:pt idx="200">
                  <c:v>29.088947253382031</c:v>
                </c:pt>
                <c:pt idx="201">
                  <c:v>28.94559615034882</c:v>
                </c:pt>
                <c:pt idx="202">
                  <c:v>28.801707274846549</c:v>
                </c:pt>
                <c:pt idx="203">
                  <c:v>28.657282120638925</c:v>
                </c:pt>
                <c:pt idx="204">
                  <c:v>28.512322268074882</c:v>
                </c:pt>
                <c:pt idx="205">
                  <c:v>28.366829385605023</c:v>
                </c:pt>
                <c:pt idx="206">
                  <c:v>28.220805231305782</c:v>
                </c:pt>
                <c:pt idx="207">
                  <c:v>28.074251654425428</c:v>
                </c:pt>
                <c:pt idx="208">
                  <c:v>27.927170596904372</c:v>
                </c:pt>
                <c:pt idx="209">
                  <c:v>27.779564094956481</c:v>
                </c:pt>
                <c:pt idx="210">
                  <c:v>27.631434280648651</c:v>
                </c:pt>
                <c:pt idx="211">
                  <c:v>27.482783383446421</c:v>
                </c:pt>
                <c:pt idx="212">
                  <c:v>27.333613731847343</c:v>
                </c:pt>
                <c:pt idx="213">
                  <c:v>27.183927754950204</c:v>
                </c:pt>
                <c:pt idx="214">
                  <c:v>27.033727984096423</c:v>
                </c:pt>
                <c:pt idx="215">
                  <c:v>26.883017054467981</c:v>
                </c:pt>
                <c:pt idx="216">
                  <c:v>26.731797706734607</c:v>
                </c:pt>
                <c:pt idx="217">
                  <c:v>26.580072788699145</c:v>
                </c:pt>
                <c:pt idx="218">
                  <c:v>26.427845256933924</c:v>
                </c:pt>
                <c:pt idx="219">
                  <c:v>26.275118178435743</c:v>
                </c:pt>
                <c:pt idx="220">
                  <c:v>26.121894732312526</c:v>
                </c:pt>
                <c:pt idx="221">
                  <c:v>25.96817821143085</c:v>
                </c:pt>
                <c:pt idx="222">
                  <c:v>25.813972024118485</c:v>
                </c:pt>
                <c:pt idx="223">
                  <c:v>25.659279695819528</c:v>
                </c:pt>
                <c:pt idx="224">
                  <c:v>25.504104870806469</c:v>
                </c:pt>
                <c:pt idx="225">
                  <c:v>25.348451313874648</c:v>
                </c:pt>
                <c:pt idx="226">
                  <c:v>25.192322912032854</c:v>
                </c:pt>
                <c:pt idx="227">
                  <c:v>25.035723676199627</c:v>
                </c:pt>
                <c:pt idx="228">
                  <c:v>24.878657742928254</c:v>
                </c:pt>
                <c:pt idx="229">
                  <c:v>24.721129376091024</c:v>
                </c:pt>
                <c:pt idx="230">
                  <c:v>24.563142968617942</c:v>
                </c:pt>
                <c:pt idx="231">
                  <c:v>24.404703044172717</c:v>
                </c:pt>
                <c:pt idx="232">
                  <c:v>24.245814258884806</c:v>
                </c:pt>
                <c:pt idx="233">
                  <c:v>24.086481403054396</c:v>
                </c:pt>
                <c:pt idx="234">
                  <c:v>23.926709402863722</c:v>
                </c:pt>
                <c:pt idx="235">
                  <c:v>23.766503322066875</c:v>
                </c:pt>
                <c:pt idx="236">
                  <c:v>23.605868363714155</c:v>
                </c:pt>
                <c:pt idx="237">
                  <c:v>23.444809871832668</c:v>
                </c:pt>
                <c:pt idx="238">
                  <c:v>23.283333333122965</c:v>
                </c:pt>
                <c:pt idx="239">
                  <c:v>23.121444378666521</c:v>
                </c:pt>
                <c:pt idx="240">
                  <c:v>22.959148785570715</c:v>
                </c:pt>
                <c:pt idx="241">
                  <c:v>22.796452478675832</c:v>
                </c:pt>
                <c:pt idx="242">
                  <c:v>22.633361532187539</c:v>
                </c:pt>
                <c:pt idx="243">
                  <c:v>22.469882171375218</c:v>
                </c:pt>
                <c:pt idx="244">
                  <c:v>22.306020774155105</c:v>
                </c:pt>
                <c:pt idx="245">
                  <c:v>22.141783872779044</c:v>
                </c:pt>
                <c:pt idx="246">
                  <c:v>21.977178155415725</c:v>
                </c:pt>
                <c:pt idx="247">
                  <c:v>21.812210467776438</c:v>
                </c:pt>
                <c:pt idx="248">
                  <c:v>21.646887814680323</c:v>
                </c:pt>
                <c:pt idx="249">
                  <c:v>21.481217361657713</c:v>
                </c:pt>
                <c:pt idx="250">
                  <c:v>21.315206436471762</c:v>
                </c:pt>
                <c:pt idx="251">
                  <c:v>21.148862530675643</c:v>
                </c:pt>
                <c:pt idx="252">
                  <c:v>20.982193301117512</c:v>
                </c:pt>
                <c:pt idx="253">
                  <c:v>20.815206571443202</c:v>
                </c:pt>
                <c:pt idx="254">
                  <c:v>20.647910333538647</c:v>
                </c:pt>
                <c:pt idx="255">
                  <c:v>20.48031274901718</c:v>
                </c:pt>
                <c:pt idx="256">
                  <c:v>20.312422150603304</c:v>
                </c:pt>
                <c:pt idx="257">
                  <c:v>20.144247043540158</c:v>
                </c:pt>
                <c:pt idx="258">
                  <c:v>19.975796106962303</c:v>
                </c:pt>
                <c:pt idx="259">
                  <c:v>19.807078195190488</c:v>
                </c:pt>
                <c:pt idx="260">
                  <c:v>19.638102339093784</c:v>
                </c:pt>
                <c:pt idx="261">
                  <c:v>19.468877747306216</c:v>
                </c:pt>
                <c:pt idx="262">
                  <c:v>19.299413807480899</c:v>
                </c:pt>
                <c:pt idx="263">
                  <c:v>19.129720087490544</c:v>
                </c:pt>
                <c:pt idx="264">
                  <c:v>18.95980633657696</c:v>
                </c:pt>
                <c:pt idx="265">
                  <c:v>18.789682486483915</c:v>
                </c:pt>
                <c:pt idx="266">
                  <c:v>18.619358652518088</c:v>
                </c:pt>
                <c:pt idx="267">
                  <c:v>18.448845134608316</c:v>
                </c:pt>
                <c:pt idx="268">
                  <c:v>18.278152418269407</c:v>
                </c:pt>
                <c:pt idx="269">
                  <c:v>18.10729117556432</c:v>
                </c:pt>
                <c:pt idx="270">
                  <c:v>17.936272266012043</c:v>
                </c:pt>
                <c:pt idx="271">
                  <c:v>17.76510673739995</c:v>
                </c:pt>
                <c:pt idx="272">
                  <c:v>17.593805826609618</c:v>
                </c:pt>
                <c:pt idx="273">
                  <c:v>17.422380960349525</c:v>
                </c:pt>
                <c:pt idx="274">
                  <c:v>17.250843755842975</c:v>
                </c:pt>
                <c:pt idx="275">
                  <c:v>17.079206021443987</c:v>
                </c:pt>
                <c:pt idx="276">
                  <c:v>16.907479757242051</c:v>
                </c:pt>
                <c:pt idx="277">
                  <c:v>16.73567715552371</c:v>
                </c:pt>
                <c:pt idx="278">
                  <c:v>16.5638106012767</c:v>
                </c:pt>
                <c:pt idx="279">
                  <c:v>16.391892672511851</c:v>
                </c:pt>
                <c:pt idx="280">
                  <c:v>16.219936140646194</c:v>
                </c:pt>
                <c:pt idx="281">
                  <c:v>16.047953970693513</c:v>
                </c:pt>
                <c:pt idx="282">
                  <c:v>15.875959321468274</c:v>
                </c:pt>
                <c:pt idx="283">
                  <c:v>15.703965545708011</c:v>
                </c:pt>
                <c:pt idx="284">
                  <c:v>15.531986190062417</c:v>
                </c:pt>
                <c:pt idx="285">
                  <c:v>15.360034995094846</c:v>
                </c:pt>
                <c:pt idx="286">
                  <c:v>15.188125895141654</c:v>
                </c:pt>
                <c:pt idx="287">
                  <c:v>15.016273018100053</c:v>
                </c:pt>
                <c:pt idx="288">
                  <c:v>14.844490685158323</c:v>
                </c:pt>
                <c:pt idx="289">
                  <c:v>14.672793410445099</c:v>
                </c:pt>
                <c:pt idx="290">
                  <c:v>14.501195900533901</c:v>
                </c:pt>
                <c:pt idx="291">
                  <c:v>14.329713053959722</c:v>
                </c:pt>
                <c:pt idx="292">
                  <c:v>14.158359960540846</c:v>
                </c:pt>
                <c:pt idx="293">
                  <c:v>13.987151900696789</c:v>
                </c:pt>
                <c:pt idx="294">
                  <c:v>13.816104344611682</c:v>
                </c:pt>
                <c:pt idx="295">
                  <c:v>13.645232951338812</c:v>
                </c:pt>
                <c:pt idx="296">
                  <c:v>13.47455356780296</c:v>
                </c:pt>
                <c:pt idx="297">
                  <c:v>13.304082227690017</c:v>
                </c:pt>
                <c:pt idx="298">
                  <c:v>13.133835150243273</c:v>
                </c:pt>
                <c:pt idx="299">
                  <c:v>12.963828738967544</c:v>
                </c:pt>
                <c:pt idx="300">
                  <c:v>12.794079580224968</c:v>
                </c:pt>
                <c:pt idx="301">
                  <c:v>12.624604441719532</c:v>
                </c:pt>
                <c:pt idx="302">
                  <c:v>12.455420270864852</c:v>
                </c:pt>
                <c:pt idx="303">
                  <c:v>12.286544193090137</c:v>
                </c:pt>
                <c:pt idx="304">
                  <c:v>12.117993509971484</c:v>
                </c:pt>
                <c:pt idx="305">
                  <c:v>11.949785697305066</c:v>
                </c:pt>
                <c:pt idx="306">
                  <c:v>11.781938403036149</c:v>
                </c:pt>
                <c:pt idx="307">
                  <c:v>11.614469445089686</c:v>
                </c:pt>
                <c:pt idx="308">
                  <c:v>11.447396809075491</c:v>
                </c:pt>
                <c:pt idx="309">
                  <c:v>11.280738645884234</c:v>
                </c:pt>
                <c:pt idx="310">
                  <c:v>11.114513269173468</c:v>
                </c:pt>
                <c:pt idx="311">
                  <c:v>10.948739152695332</c:v>
                </c:pt>
                <c:pt idx="312">
                  <c:v>10.783434927571429</c:v>
                </c:pt>
                <c:pt idx="313">
                  <c:v>10.618619379365651</c:v>
                </c:pt>
                <c:pt idx="314">
                  <c:v>10.454311445112584</c:v>
                </c:pt>
                <c:pt idx="315">
                  <c:v>10.290530210166988</c:v>
                </c:pt>
                <c:pt idx="316">
                  <c:v>10.127294904947886</c:v>
                </c:pt>
                <c:pt idx="317">
                  <c:v>9.9646249015824324</c:v>
                </c:pt>
                <c:pt idx="318">
                  <c:v>9.8025397103606231</c:v>
                </c:pt>
                <c:pt idx="319">
                  <c:v>9.6410589761519141</c:v>
                </c:pt>
                <c:pt idx="320">
                  <c:v>9.4802024746139182</c:v>
                </c:pt>
                <c:pt idx="321">
                  <c:v>9.3199901083226919</c:v>
                </c:pt>
                <c:pt idx="322">
                  <c:v>9.1604419027657702</c:v>
                </c:pt>
                <c:pt idx="323">
                  <c:v>9.0015780021995617</c:v>
                </c:pt>
                <c:pt idx="324">
                  <c:v>8.8434186653907876</c:v>
                </c:pt>
                <c:pt idx="325">
                  <c:v>8.6859842612158982</c:v>
                </c:pt>
                <c:pt idx="326">
                  <c:v>8.5292952641544932</c:v>
                </c:pt>
                <c:pt idx="327">
                  <c:v>8.3733722496447349</c:v>
                </c:pt>
                <c:pt idx="328">
                  <c:v>8.2182358892969543</c:v>
                </c:pt>
                <c:pt idx="329">
                  <c:v>8.0639069460242645</c:v>
                </c:pt>
                <c:pt idx="330">
                  <c:v>7.9104062689883357</c:v>
                </c:pt>
                <c:pt idx="331">
                  <c:v>7.7577547884866371</c:v>
                </c:pt>
                <c:pt idx="332">
                  <c:v>7.6059735106567699</c:v>
                </c:pt>
                <c:pt idx="333">
                  <c:v>7.4550835120998853</c:v>
                </c:pt>
                <c:pt idx="334">
                  <c:v>7.3051059343660549</c:v>
                </c:pt>
                <c:pt idx="335">
                  <c:v>7.1560619783069752</c:v>
                </c:pt>
                <c:pt idx="336">
                  <c:v>7.0079728983425955</c:v>
                </c:pt>
                <c:pt idx="337">
                  <c:v>6.8608599965802188</c:v>
                </c:pt>
                <c:pt idx="338">
                  <c:v>6.7147446168301776</c:v>
                </c:pt>
                <c:pt idx="339">
                  <c:v>6.5696481385053493</c:v>
                </c:pt>
                <c:pt idx="340">
                  <c:v>6.4255919704178517</c:v>
                </c:pt>
                <c:pt idx="341">
                  <c:v>6.2825975444439344</c:v>
                </c:pt>
                <c:pt idx="342">
                  <c:v>6.1406863091077595</c:v>
                </c:pt>
                <c:pt idx="343">
                  <c:v>5.9998797230375853</c:v>
                </c:pt>
                <c:pt idx="344">
                  <c:v>5.8601992483294749</c:v>
                </c:pt>
                <c:pt idx="345">
                  <c:v>5.7216663438174216</c:v>
                </c:pt>
                <c:pt idx="346">
                  <c:v>5.5843024582218979</c:v>
                </c:pt>
                <c:pt idx="347">
                  <c:v>5.4481290232354</c:v>
                </c:pt>
                <c:pt idx="348">
                  <c:v>5.3131674464853935</c:v>
                </c:pt>
                <c:pt idx="349">
                  <c:v>5.1794391044345849</c:v>
                </c:pt>
                <c:pt idx="350">
                  <c:v>5.0469653351811727</c:v>
                </c:pt>
                <c:pt idx="351">
                  <c:v>4.9157674311737187</c:v>
                </c:pt>
                <c:pt idx="352">
                  <c:v>4.7858666318660372</c:v>
                </c:pt>
                <c:pt idx="353">
                  <c:v>4.65728411627589</c:v>
                </c:pt>
                <c:pt idx="354">
                  <c:v>4.5300409954892134</c:v>
                </c:pt>
                <c:pt idx="355">
                  <c:v>4.404158305092265</c:v>
                </c:pt>
                <c:pt idx="356">
                  <c:v>4.279656997535473</c:v>
                </c:pt>
                <c:pt idx="357">
                  <c:v>4.1565579344467745</c:v>
                </c:pt>
                <c:pt idx="358">
                  <c:v>4.0348818788914151</c:v>
                </c:pt>
                <c:pt idx="359">
                  <c:v>3.9146494875734836</c:v>
                </c:pt>
                <c:pt idx="360">
                  <c:v>3.795881302997167</c:v>
                </c:pt>
                <c:pt idx="361">
                  <c:v>45.879932475663033</c:v>
                </c:pt>
                <c:pt idx="362">
                  <c:v>45.445392722532937</c:v>
                </c:pt>
                <c:pt idx="363">
                  <c:v>45.210880379145905</c:v>
                </c:pt>
                <c:pt idx="364">
                  <c:v>44.974552202952083</c:v>
                </c:pt>
                <c:pt idx="365">
                  <c:v>44.736400194990296</c:v>
                </c:pt>
                <c:pt idx="366">
                  <c:v>44.496416597270226</c:v>
                </c:pt>
                <c:pt idx="367">
                  <c:v>44.25459390451514</c:v>
                </c:pt>
                <c:pt idx="368">
                  <c:v>44.010924876268099</c:v>
                </c:pt>
                <c:pt idx="369">
                  <c:v>43.765402549279116</c:v>
                </c:pt>
                <c:pt idx="370">
                  <c:v>43.518020250321626</c:v>
                </c:pt>
                <c:pt idx="371">
                  <c:v>43.268771609295577</c:v>
                </c:pt>
                <c:pt idx="372">
                  <c:v>43.017650572683714</c:v>
                </c:pt>
                <c:pt idx="373">
                  <c:v>42.764651417394425</c:v>
                </c:pt>
                <c:pt idx="374">
                  <c:v>42.509768764970232</c:v>
                </c:pt>
                <c:pt idx="375">
                  <c:v>42.252997596136609</c:v>
                </c:pt>
                <c:pt idx="376">
                  <c:v>41.994333265763835</c:v>
                </c:pt>
                <c:pt idx="377">
                  <c:v>41.733771518118125</c:v>
                </c:pt>
                <c:pt idx="378">
                  <c:v>41.471308502641818</c:v>
                </c:pt>
                <c:pt idx="379">
                  <c:v>41.206940789978418</c:v>
                </c:pt>
                <c:pt idx="380">
                  <c:v>40.940665388463998</c:v>
                </c:pt>
                <c:pt idx="381">
                  <c:v>40.672479760959895</c:v>
                </c:pt>
                <c:pt idx="382">
                  <c:v>40.402381842117542</c:v>
                </c:pt>
                <c:pt idx="383">
                  <c:v>40.130370056068053</c:v>
                </c:pt>
                <c:pt idx="384">
                  <c:v>39.856443334387002</c:v>
                </c:pt>
                <c:pt idx="385">
                  <c:v>39.580601134600506</c:v>
                </c:pt>
                <c:pt idx="386">
                  <c:v>39.302843459010987</c:v>
                </c:pt>
                <c:pt idx="387">
                  <c:v>39.02317087396024</c:v>
                </c:pt>
                <c:pt idx="388">
                  <c:v>38.741584529434334</c:v>
                </c:pt>
                <c:pt idx="389">
                  <c:v>38.458086179150399</c:v>
                </c:pt>
                <c:pt idx="390">
                  <c:v>38.172678200981579</c:v>
                </c:pt>
                <c:pt idx="391">
                  <c:v>37.885363617832603</c:v>
                </c:pt>
                <c:pt idx="392">
                  <c:v>37.596146118822745</c:v>
                </c:pt>
                <c:pt idx="393">
                  <c:v>37.305030080957671</c:v>
                </c:pt>
                <c:pt idx="394">
                  <c:v>37.012020591128405</c:v>
                </c:pt>
                <c:pt idx="395">
                  <c:v>36.717123468536663</c:v>
                </c:pt>
                <c:pt idx="396">
                  <c:v>36.420345287443538</c:v>
                </c:pt>
                <c:pt idx="397">
                  <c:v>36.121693400313312</c:v>
                </c:pt>
                <c:pt idx="398">
                  <c:v>35.82117596134681</c:v>
                </c:pt>
                <c:pt idx="399">
                  <c:v>35.5188019503654</c:v>
                </c:pt>
                <c:pt idx="400">
                  <c:v>35.214581196990352</c:v>
                </c:pt>
                <c:pt idx="401">
                  <c:v>34.908524405180337</c:v>
                </c:pt>
                <c:pt idx="402">
                  <c:v>34.6006431781652</c:v>
                </c:pt>
                <c:pt idx="403">
                  <c:v>34.29095004358804</c:v>
                </c:pt>
                <c:pt idx="404">
                  <c:v>33.979458478999547</c:v>
                </c:pt>
                <c:pt idx="405">
                  <c:v>33.666182937610692</c:v>
                </c:pt>
                <c:pt idx="406">
                  <c:v>33.351138874362661</c:v>
                </c:pt>
                <c:pt idx="407">
                  <c:v>33.034342772183479</c:v>
                </c:pt>
                <c:pt idx="408">
                  <c:v>32.715812168499966</c:v>
                </c:pt>
                <c:pt idx="409">
                  <c:v>32.395565681978937</c:v>
                </c:pt>
                <c:pt idx="410">
                  <c:v>32.07362303941273</c:v>
                </c:pt>
                <c:pt idx="411">
                  <c:v>31.750005102827238</c:v>
                </c:pt>
                <c:pt idx="412">
                  <c:v>31.424733896658672</c:v>
                </c:pt>
                <c:pt idx="413">
                  <c:v>31.097832635112766</c:v>
                </c:pt>
                <c:pt idx="414">
                  <c:v>30.769325749543199</c:v>
                </c:pt>
                <c:pt idx="415">
                  <c:v>30.439238915950959</c:v>
                </c:pt>
                <c:pt idx="416">
                  <c:v>30.107599082425175</c:v>
                </c:pt>
                <c:pt idx="417">
                  <c:v>29.774434496675788</c:v>
                </c:pt>
                <c:pt idx="418">
                  <c:v>29.439774733379448</c:v>
                </c:pt>
                <c:pt idx="419">
                  <c:v>29.103650721600914</c:v>
                </c:pt>
                <c:pt idx="420">
                  <c:v>28.766094771960908</c:v>
                </c:pt>
                <c:pt idx="421">
                  <c:v>28.427140603679053</c:v>
                </c:pt>
                <c:pt idx="422">
                  <c:v>28.086823371465009</c:v>
                </c:pt>
                <c:pt idx="423">
                  <c:v>27.745179692049419</c:v>
                </c:pt>
                <c:pt idx="424">
                  <c:v>27.402247670485799</c:v>
                </c:pt>
                <c:pt idx="425">
                  <c:v>27.058066926105102</c:v>
                </c:pt>
                <c:pt idx="426">
                  <c:v>26.712678618004329</c:v>
                </c:pt>
                <c:pt idx="427">
                  <c:v>26.366125470155708</c:v>
                </c:pt>
                <c:pt idx="428">
                  <c:v>26.018451795938859</c:v>
                </c:pt>
                <c:pt idx="429">
                  <c:v>25.669703522130146</c:v>
                </c:pt>
                <c:pt idx="430">
                  <c:v>25.319928212290943</c:v>
                </c:pt>
                <c:pt idx="431">
                  <c:v>24.969175089406477</c:v>
                </c:pt>
                <c:pt idx="432">
                  <c:v>24.617495057780424</c:v>
                </c:pt>
                <c:pt idx="433">
                  <c:v>24.264940724174593</c:v>
                </c:pt>
                <c:pt idx="434">
                  <c:v>23.911566417955534</c:v>
                </c:pt>
                <c:pt idx="435">
                  <c:v>23.557428210360815</c:v>
                </c:pt>
                <c:pt idx="436">
                  <c:v>23.20258393270402</c:v>
                </c:pt>
                <c:pt idx="437">
                  <c:v>22.847093193461685</c:v>
                </c:pt>
                <c:pt idx="438">
                  <c:v>22.491017394209607</c:v>
                </c:pt>
                <c:pt idx="439">
                  <c:v>22.134419744288895</c:v>
                </c:pt>
                <c:pt idx="440">
                  <c:v>21.777365274131437</c:v>
                </c:pt>
                <c:pt idx="441">
                  <c:v>21.419920847179618</c:v>
                </c:pt>
                <c:pt idx="442">
                  <c:v>21.062155170301473</c:v>
                </c:pt>
                <c:pt idx="443">
                  <c:v>20.704138802656615</c:v>
                </c:pt>
                <c:pt idx="444">
                  <c:v>20.345944162845729</c:v>
                </c:pt>
                <c:pt idx="445">
                  <c:v>19.987645534387784</c:v>
                </c:pt>
                <c:pt idx="446">
                  <c:v>19.629319069304294</c:v>
                </c:pt>
                <c:pt idx="447">
                  <c:v>19.271042789830968</c:v>
                </c:pt>
                <c:pt idx="448">
                  <c:v>18.912896588114997</c:v>
                </c:pt>
                <c:pt idx="449">
                  <c:v>18.554962223818464</c:v>
                </c:pt>
                <c:pt idx="450">
                  <c:v>18.197323319585408</c:v>
                </c:pt>
                <c:pt idx="451">
                  <c:v>17.840065354211685</c:v>
                </c:pt>
                <c:pt idx="452">
                  <c:v>17.483275653503654</c:v>
                </c:pt>
                <c:pt idx="453">
                  <c:v>17.127043378714639</c:v>
                </c:pt>
                <c:pt idx="454">
                  <c:v>16.771459512457316</c:v>
                </c:pt>
                <c:pt idx="455">
                  <c:v>16.416616842061149</c:v>
                </c:pt>
                <c:pt idx="456">
                  <c:v>16.062609940235838</c:v>
                </c:pt>
                <c:pt idx="457">
                  <c:v>15.709535143012111</c:v>
                </c:pt>
                <c:pt idx="458">
                  <c:v>15.357490524872881</c:v>
                </c:pt>
                <c:pt idx="459">
                  <c:v>15.00657587097181</c:v>
                </c:pt>
                <c:pt idx="460">
                  <c:v>14.656892646435098</c:v>
                </c:pt>
                <c:pt idx="461">
                  <c:v>14.308543962601036</c:v>
                </c:pt>
                <c:pt idx="462">
                  <c:v>13.961634540216814</c:v>
                </c:pt>
                <c:pt idx="463">
                  <c:v>13.616270669462679</c:v>
                </c:pt>
                <c:pt idx="464">
                  <c:v>13.27256016681995</c:v>
                </c:pt>
                <c:pt idx="465">
                  <c:v>12.930612328660226</c:v>
                </c:pt>
                <c:pt idx="466">
                  <c:v>12.590537881597864</c:v>
                </c:pt>
                <c:pt idx="467">
                  <c:v>12.252448929476131</c:v>
                </c:pt>
                <c:pt idx="468">
                  <c:v>11.916458897053094</c:v>
                </c:pt>
                <c:pt idx="469">
                  <c:v>11.5826824702722</c:v>
                </c:pt>
                <c:pt idx="470">
                  <c:v>11.251235533179056</c:v>
                </c:pt>
                <c:pt idx="471">
                  <c:v>10.922235101404899</c:v>
                </c:pt>
                <c:pt idx="472">
                  <c:v>10.595799252275253</c:v>
                </c:pt>
                <c:pt idx="473">
                  <c:v>10.272047051500705</c:v>
                </c:pt>
                <c:pt idx="474">
                  <c:v>9.9510984764937902</c:v>
                </c:pt>
                <c:pt idx="475">
                  <c:v>9.6330743363245315</c:v>
                </c:pt>
                <c:pt idx="476">
                  <c:v>9.3180961883383144</c:v>
                </c:pt>
                <c:pt idx="477">
                  <c:v>9.0062862514771957</c:v>
                </c:pt>
                <c:pt idx="478">
                  <c:v>8.6977673163910687</c:v>
                </c:pt>
                <c:pt idx="479">
                  <c:v>8.3926626523122554</c:v>
                </c:pt>
                <c:pt idx="480">
                  <c:v>8.091095910874154</c:v>
                </c:pt>
                <c:pt idx="481">
                  <c:v>7.7931910268524556</c:v>
                </c:pt>
                <c:pt idx="482">
                  <c:v>7.499072115982572</c:v>
                </c:pt>
                <c:pt idx="483">
                  <c:v>7.2088633699209606</c:v>
                </c:pt>
                <c:pt idx="484">
                  <c:v>6.9226889484869867</c:v>
                </c:pt>
                <c:pt idx="485">
                  <c:v>6.640672869260059</c:v>
                </c:pt>
                <c:pt idx="486">
                  <c:v>6.3629388947303536</c:v>
                </c:pt>
                <c:pt idx="487">
                  <c:v>6.0896104170691139</c:v>
                </c:pt>
                <c:pt idx="488">
                  <c:v>5.820810340738543</c:v>
                </c:pt>
                <c:pt idx="489">
                  <c:v>5.5566609630522006</c:v>
                </c:pt>
                <c:pt idx="490">
                  <c:v>5.2972838528854203</c:v>
                </c:pt>
                <c:pt idx="491">
                  <c:v>5.0427997277193688</c:v>
                </c:pt>
                <c:pt idx="492">
                  <c:v>4.7933283291802082</c:v>
                </c:pt>
                <c:pt idx="493">
                  <c:v>4.5489882973168587</c:v>
                </c:pt>
                <c:pt idx="494">
                  <c:v>4.3098970437961839</c:v>
                </c:pt>
                <c:pt idx="495">
                  <c:v>4.0761706242376947</c:v>
                </c:pt>
                <c:pt idx="496">
                  <c:v>3.84792360993593</c:v>
                </c:pt>
                <c:pt idx="497">
                  <c:v>3.6252689591679803</c:v>
                </c:pt>
                <c:pt idx="498">
                  <c:v>3.4083178883616383</c:v>
                </c:pt>
                <c:pt idx="499">
                  <c:v>3.1971797433532338</c:v>
                </c:pt>
                <c:pt idx="500">
                  <c:v>2.9919618709846039</c:v>
                </c:pt>
                <c:pt idx="501">
                  <c:v>2.7927694913144583</c:v>
                </c:pt>
                <c:pt idx="502">
                  <c:v>2.5997055706864529</c:v>
                </c:pt>
                <c:pt idx="503">
                  <c:v>2.412870695935863</c:v>
                </c:pt>
                <c:pt idx="504">
                  <c:v>2.232362949990244</c:v>
                </c:pt>
                <c:pt idx="505">
                  <c:v>2.0582777891460435</c:v>
                </c:pt>
                <c:pt idx="506">
                  <c:v>1.8907079222844621</c:v>
                </c:pt>
                <c:pt idx="507">
                  <c:v>1.7297431922978799</c:v>
                </c:pt>
                <c:pt idx="508">
                  <c:v>1.5754704600036078</c:v>
                </c:pt>
                <c:pt idx="509">
                  <c:v>1.4279734908091479</c:v>
                </c:pt>
                <c:pt idx="510">
                  <c:v>1.2873328443935459</c:v>
                </c:pt>
                <c:pt idx="511">
                  <c:v>1.1536257676712716</c:v>
                </c:pt>
                <c:pt idx="512">
                  <c:v>1.0269260912964671</c:v>
                </c:pt>
                <c:pt idx="513">
                  <c:v>0.90730412994993581</c:v>
                </c:pt>
                <c:pt idx="514">
                  <c:v>0.7948265866748524</c:v>
                </c:pt>
                <c:pt idx="515">
                  <c:v>0.68955646147171135</c:v>
                </c:pt>
                <c:pt idx="516">
                  <c:v>0.59155296441022132</c:v>
                </c:pt>
                <c:pt idx="517">
                  <c:v>0.5008714334546901</c:v>
                </c:pt>
                <c:pt idx="518">
                  <c:v>0.41756325723096949</c:v>
                </c:pt>
                <c:pt idx="519">
                  <c:v>0.34167580291868971</c:v>
                </c:pt>
                <c:pt idx="520">
                  <c:v>0.27325234946949278</c:v>
                </c:pt>
                <c:pt idx="521">
                  <c:v>0.21233202631604287</c:v>
                </c:pt>
                <c:pt idx="522">
                  <c:v>0.15894975773410139</c:v>
                </c:pt>
                <c:pt idx="523">
                  <c:v>0.11313621301067876</c:v>
                </c:pt>
                <c:pt idx="524">
                  <c:v>7.4917762541605329E-2</c:v>
                </c:pt>
                <c:pt idx="525">
                  <c:v>4.4316439982372696E-2</c:v>
                </c:pt>
                <c:pt idx="526">
                  <c:v>2.1349910548974609E-2</c:v>
                </c:pt>
                <c:pt idx="527">
                  <c:v>6.0314455569991255E-3</c:v>
                </c:pt>
                <c:pt idx="528">
                  <c:v>-1.6300967350306973E-3</c:v>
                </c:pt>
                <c:pt idx="529">
                  <c:v>9.5772651298659135E-4</c:v>
                </c:pt>
                <c:pt idx="530">
                  <c:v>1.1206530615143605E-2</c:v>
                </c:pt>
                <c:pt idx="531">
                  <c:v>2.6523498890338774E-2</c:v>
                </c:pt>
                <c:pt idx="532">
                  <c:v>4.948778460089278E-2</c:v>
                </c:pt>
                <c:pt idx="533">
                  <c:v>8.0086118051168317E-2</c:v>
                </c:pt>
                <c:pt idx="534">
                  <c:v>0.11830083618111745</c:v>
                </c:pt>
                <c:pt idx="535">
                  <c:v>0.16410990802313777</c:v>
                </c:pt>
                <c:pt idx="536">
                  <c:v>0.21748696639737575</c:v>
                </c:pt>
                <c:pt idx="537">
                  <c:v>0.27840134575487152</c:v>
                </c:pt>
                <c:pt idx="538">
                  <c:v>0.34681812607352569</c:v>
                </c:pt>
                <c:pt idx="539">
                  <c:v>0.42269818268358533</c:v>
                </c:pt>
                <c:pt idx="540">
                  <c:v>0.50599824189845155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B6-4689-A756-9FDD957449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5122240"/>
        <c:axId val="255123200"/>
      </c:scatterChart>
      <c:valAx>
        <c:axId val="255122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123200"/>
        <c:crosses val="autoZero"/>
        <c:crossBetween val="midCat"/>
      </c:valAx>
      <c:valAx>
        <c:axId val="25512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5122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Data!$B$2:$B$542</c:f>
              <c:numCache>
                <c:formatCode>0.00</c:formatCode>
                <c:ptCount val="541"/>
                <c:pt idx="0">
                  <c:v>50</c:v>
                </c:pt>
                <c:pt idx="1">
                  <c:v>50.166666666666664</c:v>
                </c:pt>
                <c:pt idx="2">
                  <c:v>50.333333333333329</c:v>
                </c:pt>
                <c:pt idx="3">
                  <c:v>50.499999999999993</c:v>
                </c:pt>
                <c:pt idx="4">
                  <c:v>50.666666666666657</c:v>
                </c:pt>
                <c:pt idx="5">
                  <c:v>50.833333333333321</c:v>
                </c:pt>
                <c:pt idx="6">
                  <c:v>50.999999999999986</c:v>
                </c:pt>
                <c:pt idx="7">
                  <c:v>51.16666666666665</c:v>
                </c:pt>
                <c:pt idx="8">
                  <c:v>51.333333333333314</c:v>
                </c:pt>
                <c:pt idx="9">
                  <c:v>51.499999999999979</c:v>
                </c:pt>
                <c:pt idx="10">
                  <c:v>51.666666666666643</c:v>
                </c:pt>
                <c:pt idx="11">
                  <c:v>51.833333333333307</c:v>
                </c:pt>
                <c:pt idx="12">
                  <c:v>51.999999999999972</c:v>
                </c:pt>
                <c:pt idx="13">
                  <c:v>52.166666666666636</c:v>
                </c:pt>
                <c:pt idx="14">
                  <c:v>52.3333333333333</c:v>
                </c:pt>
                <c:pt idx="15">
                  <c:v>52.499999999999964</c:v>
                </c:pt>
                <c:pt idx="16">
                  <c:v>52.666666666666629</c:v>
                </c:pt>
                <c:pt idx="17">
                  <c:v>52.833333333333293</c:v>
                </c:pt>
                <c:pt idx="18">
                  <c:v>52.999999999999957</c:v>
                </c:pt>
                <c:pt idx="19">
                  <c:v>53.166666666666622</c:v>
                </c:pt>
                <c:pt idx="20">
                  <c:v>53.333333333333286</c:v>
                </c:pt>
                <c:pt idx="21">
                  <c:v>53.49999999999995</c:v>
                </c:pt>
                <c:pt idx="22">
                  <c:v>53.666666666666615</c:v>
                </c:pt>
                <c:pt idx="23">
                  <c:v>53.833333333333279</c:v>
                </c:pt>
                <c:pt idx="24">
                  <c:v>53.999999999999943</c:v>
                </c:pt>
                <c:pt idx="25">
                  <c:v>54.166666666666607</c:v>
                </c:pt>
                <c:pt idx="26">
                  <c:v>54.333333333333272</c:v>
                </c:pt>
                <c:pt idx="27">
                  <c:v>54.499999999999936</c:v>
                </c:pt>
                <c:pt idx="28">
                  <c:v>54.6666666666666</c:v>
                </c:pt>
                <c:pt idx="29">
                  <c:v>54.833333333333265</c:v>
                </c:pt>
                <c:pt idx="30">
                  <c:v>54.999999999999929</c:v>
                </c:pt>
                <c:pt idx="31">
                  <c:v>55.166666666666593</c:v>
                </c:pt>
                <c:pt idx="32">
                  <c:v>55.333333333333258</c:v>
                </c:pt>
                <c:pt idx="33">
                  <c:v>55.499999999999922</c:v>
                </c:pt>
                <c:pt idx="34">
                  <c:v>55.666666666666586</c:v>
                </c:pt>
                <c:pt idx="35">
                  <c:v>55.83333333333325</c:v>
                </c:pt>
                <c:pt idx="36">
                  <c:v>55.999999999999915</c:v>
                </c:pt>
                <c:pt idx="37">
                  <c:v>56.166666666666579</c:v>
                </c:pt>
                <c:pt idx="38">
                  <c:v>56.333333333333243</c:v>
                </c:pt>
                <c:pt idx="39">
                  <c:v>56.499999999999908</c:v>
                </c:pt>
                <c:pt idx="40">
                  <c:v>56.666666666666572</c:v>
                </c:pt>
                <c:pt idx="41">
                  <c:v>56.833333333333236</c:v>
                </c:pt>
                <c:pt idx="42">
                  <c:v>56.999999999999901</c:v>
                </c:pt>
                <c:pt idx="43">
                  <c:v>57.166666666666565</c:v>
                </c:pt>
                <c:pt idx="44">
                  <c:v>57.333333333333229</c:v>
                </c:pt>
                <c:pt idx="45">
                  <c:v>57.499999999999893</c:v>
                </c:pt>
                <c:pt idx="46">
                  <c:v>57.666666666666558</c:v>
                </c:pt>
                <c:pt idx="47">
                  <c:v>57.833333333333222</c:v>
                </c:pt>
                <c:pt idx="48">
                  <c:v>57.999999999999886</c:v>
                </c:pt>
                <c:pt idx="49">
                  <c:v>58.166666666666551</c:v>
                </c:pt>
                <c:pt idx="50">
                  <c:v>58.333333333333215</c:v>
                </c:pt>
                <c:pt idx="51">
                  <c:v>58.499999999999879</c:v>
                </c:pt>
                <c:pt idx="52">
                  <c:v>58.666666666666544</c:v>
                </c:pt>
                <c:pt idx="53">
                  <c:v>58.833333333333208</c:v>
                </c:pt>
                <c:pt idx="54">
                  <c:v>58.999999999999872</c:v>
                </c:pt>
                <c:pt idx="55">
                  <c:v>59.166666666666536</c:v>
                </c:pt>
                <c:pt idx="56">
                  <c:v>59.333333333333201</c:v>
                </c:pt>
                <c:pt idx="57">
                  <c:v>59.499999999999865</c:v>
                </c:pt>
                <c:pt idx="58">
                  <c:v>59.666666666666529</c:v>
                </c:pt>
                <c:pt idx="59">
                  <c:v>59.833333333333194</c:v>
                </c:pt>
                <c:pt idx="60">
                  <c:v>59.999999999999858</c:v>
                </c:pt>
                <c:pt idx="61">
                  <c:v>60.166666666666522</c:v>
                </c:pt>
                <c:pt idx="62">
                  <c:v>60.333333333333186</c:v>
                </c:pt>
                <c:pt idx="63">
                  <c:v>60.499999999999851</c:v>
                </c:pt>
                <c:pt idx="64">
                  <c:v>60.666666666666515</c:v>
                </c:pt>
                <c:pt idx="65">
                  <c:v>60.833333333333179</c:v>
                </c:pt>
                <c:pt idx="66">
                  <c:v>60.999999999999844</c:v>
                </c:pt>
                <c:pt idx="67">
                  <c:v>61.166666666666508</c:v>
                </c:pt>
                <c:pt idx="68">
                  <c:v>61.333333333333172</c:v>
                </c:pt>
                <c:pt idx="69">
                  <c:v>61.499999999999837</c:v>
                </c:pt>
                <c:pt idx="70">
                  <c:v>61.666666666666501</c:v>
                </c:pt>
                <c:pt idx="71">
                  <c:v>61.833333333333165</c:v>
                </c:pt>
                <c:pt idx="72">
                  <c:v>61.999999999999829</c:v>
                </c:pt>
                <c:pt idx="73">
                  <c:v>62.166666666666494</c:v>
                </c:pt>
                <c:pt idx="74">
                  <c:v>62.333333333333158</c:v>
                </c:pt>
                <c:pt idx="75">
                  <c:v>62.499999999999822</c:v>
                </c:pt>
                <c:pt idx="76">
                  <c:v>62.666666666666487</c:v>
                </c:pt>
                <c:pt idx="77">
                  <c:v>62.833333333333151</c:v>
                </c:pt>
                <c:pt idx="78">
                  <c:v>62.999999999999815</c:v>
                </c:pt>
                <c:pt idx="79">
                  <c:v>63.16666666666648</c:v>
                </c:pt>
                <c:pt idx="80">
                  <c:v>63.333333333333144</c:v>
                </c:pt>
                <c:pt idx="81">
                  <c:v>63.499999999999808</c:v>
                </c:pt>
                <c:pt idx="82">
                  <c:v>63.666666666666472</c:v>
                </c:pt>
                <c:pt idx="83">
                  <c:v>63.833333333333137</c:v>
                </c:pt>
                <c:pt idx="84">
                  <c:v>63.999999999999801</c:v>
                </c:pt>
                <c:pt idx="85">
                  <c:v>64.166666666666472</c:v>
                </c:pt>
                <c:pt idx="86">
                  <c:v>64.333333333333144</c:v>
                </c:pt>
                <c:pt idx="87">
                  <c:v>64.499999999999815</c:v>
                </c:pt>
                <c:pt idx="88">
                  <c:v>64.666666666666487</c:v>
                </c:pt>
                <c:pt idx="89">
                  <c:v>64.833333333333158</c:v>
                </c:pt>
                <c:pt idx="90">
                  <c:v>64.999999999999829</c:v>
                </c:pt>
                <c:pt idx="91">
                  <c:v>65.166666666666501</c:v>
                </c:pt>
                <c:pt idx="92">
                  <c:v>65.333333333333172</c:v>
                </c:pt>
                <c:pt idx="93">
                  <c:v>65.499999999999844</c:v>
                </c:pt>
                <c:pt idx="94">
                  <c:v>65.666666666666515</c:v>
                </c:pt>
                <c:pt idx="95">
                  <c:v>65.833333333333186</c:v>
                </c:pt>
                <c:pt idx="96">
                  <c:v>65.999999999999858</c:v>
                </c:pt>
                <c:pt idx="97">
                  <c:v>66.166666666666529</c:v>
                </c:pt>
                <c:pt idx="98">
                  <c:v>66.333333333333201</c:v>
                </c:pt>
                <c:pt idx="99">
                  <c:v>66.499999999999872</c:v>
                </c:pt>
                <c:pt idx="100">
                  <c:v>66.666666666666544</c:v>
                </c:pt>
                <c:pt idx="101">
                  <c:v>66.833333333333215</c:v>
                </c:pt>
                <c:pt idx="102">
                  <c:v>66.999999999999886</c:v>
                </c:pt>
                <c:pt idx="103">
                  <c:v>67.166666666666558</c:v>
                </c:pt>
                <c:pt idx="104">
                  <c:v>67.333333333333229</c:v>
                </c:pt>
                <c:pt idx="105">
                  <c:v>67.499999999999901</c:v>
                </c:pt>
                <c:pt idx="106">
                  <c:v>67.666666666666572</c:v>
                </c:pt>
                <c:pt idx="107">
                  <c:v>67.833333333333243</c:v>
                </c:pt>
                <c:pt idx="108">
                  <c:v>67.999999999999915</c:v>
                </c:pt>
                <c:pt idx="109">
                  <c:v>68.166666666666586</c:v>
                </c:pt>
                <c:pt idx="110">
                  <c:v>68.333333333333258</c:v>
                </c:pt>
                <c:pt idx="111">
                  <c:v>68.499999999999929</c:v>
                </c:pt>
                <c:pt idx="112">
                  <c:v>68.6666666666666</c:v>
                </c:pt>
                <c:pt idx="113">
                  <c:v>68.833333333333272</c:v>
                </c:pt>
                <c:pt idx="114">
                  <c:v>68.999999999999943</c:v>
                </c:pt>
                <c:pt idx="115">
                  <c:v>69.166666666666615</c:v>
                </c:pt>
                <c:pt idx="116">
                  <c:v>69.333333333333286</c:v>
                </c:pt>
                <c:pt idx="117">
                  <c:v>69.499999999999957</c:v>
                </c:pt>
                <c:pt idx="118">
                  <c:v>69.666666666666629</c:v>
                </c:pt>
                <c:pt idx="119">
                  <c:v>69.8333333333333</c:v>
                </c:pt>
                <c:pt idx="120">
                  <c:v>69.999999999999972</c:v>
                </c:pt>
                <c:pt idx="121">
                  <c:v>70.166666666666643</c:v>
                </c:pt>
                <c:pt idx="122">
                  <c:v>70.333333333333314</c:v>
                </c:pt>
                <c:pt idx="123">
                  <c:v>70.499999999999986</c:v>
                </c:pt>
                <c:pt idx="124">
                  <c:v>70.666666666666657</c:v>
                </c:pt>
                <c:pt idx="125">
                  <c:v>70.833333333333329</c:v>
                </c:pt>
                <c:pt idx="126">
                  <c:v>71</c:v>
                </c:pt>
                <c:pt idx="127">
                  <c:v>71.166666666666671</c:v>
                </c:pt>
                <c:pt idx="128">
                  <c:v>71.333333333333343</c:v>
                </c:pt>
                <c:pt idx="129">
                  <c:v>71.500000000000014</c:v>
                </c:pt>
                <c:pt idx="130">
                  <c:v>71.666666666666686</c:v>
                </c:pt>
                <c:pt idx="131">
                  <c:v>71.833333333333357</c:v>
                </c:pt>
                <c:pt idx="132">
                  <c:v>72.000000000000028</c:v>
                </c:pt>
                <c:pt idx="133">
                  <c:v>72.1666666666667</c:v>
                </c:pt>
                <c:pt idx="134">
                  <c:v>72.333333333333371</c:v>
                </c:pt>
                <c:pt idx="135">
                  <c:v>72.500000000000043</c:v>
                </c:pt>
                <c:pt idx="136">
                  <c:v>72.666666666666714</c:v>
                </c:pt>
                <c:pt idx="137">
                  <c:v>72.833333333333385</c:v>
                </c:pt>
                <c:pt idx="138">
                  <c:v>73.000000000000057</c:v>
                </c:pt>
                <c:pt idx="139">
                  <c:v>73.166666666666728</c:v>
                </c:pt>
                <c:pt idx="140">
                  <c:v>73.3333333333334</c:v>
                </c:pt>
                <c:pt idx="141">
                  <c:v>73.500000000000071</c:v>
                </c:pt>
                <c:pt idx="142">
                  <c:v>73.666666666666742</c:v>
                </c:pt>
                <c:pt idx="143">
                  <c:v>73.833333333333414</c:v>
                </c:pt>
                <c:pt idx="144">
                  <c:v>74.000000000000085</c:v>
                </c:pt>
                <c:pt idx="145">
                  <c:v>74.166666666666757</c:v>
                </c:pt>
                <c:pt idx="146">
                  <c:v>74.333333333333428</c:v>
                </c:pt>
                <c:pt idx="147">
                  <c:v>74.500000000000099</c:v>
                </c:pt>
                <c:pt idx="148">
                  <c:v>74.666666666666771</c:v>
                </c:pt>
                <c:pt idx="149">
                  <c:v>74.833333333333442</c:v>
                </c:pt>
                <c:pt idx="150">
                  <c:v>75.000000000000114</c:v>
                </c:pt>
                <c:pt idx="151">
                  <c:v>75.166666666666785</c:v>
                </c:pt>
                <c:pt idx="152">
                  <c:v>75.333333333333456</c:v>
                </c:pt>
                <c:pt idx="153">
                  <c:v>75.500000000000128</c:v>
                </c:pt>
                <c:pt idx="154">
                  <c:v>75.666666666666799</c:v>
                </c:pt>
                <c:pt idx="155">
                  <c:v>75.833333333333471</c:v>
                </c:pt>
                <c:pt idx="156">
                  <c:v>76.000000000000142</c:v>
                </c:pt>
                <c:pt idx="157">
                  <c:v>76.166666666666814</c:v>
                </c:pt>
                <c:pt idx="158">
                  <c:v>76.333333333333485</c:v>
                </c:pt>
                <c:pt idx="159">
                  <c:v>76.500000000000156</c:v>
                </c:pt>
                <c:pt idx="160">
                  <c:v>76.666666666666828</c:v>
                </c:pt>
                <c:pt idx="161">
                  <c:v>76.833333333333499</c:v>
                </c:pt>
                <c:pt idx="162">
                  <c:v>77.000000000000171</c:v>
                </c:pt>
                <c:pt idx="163">
                  <c:v>77.166666666666842</c:v>
                </c:pt>
                <c:pt idx="164">
                  <c:v>77.333333333333513</c:v>
                </c:pt>
                <c:pt idx="165">
                  <c:v>77.500000000000185</c:v>
                </c:pt>
                <c:pt idx="166">
                  <c:v>77.666666666666856</c:v>
                </c:pt>
                <c:pt idx="167">
                  <c:v>77.833333333333528</c:v>
                </c:pt>
                <c:pt idx="168">
                  <c:v>78.000000000000199</c:v>
                </c:pt>
                <c:pt idx="169">
                  <c:v>78.16666666666687</c:v>
                </c:pt>
                <c:pt idx="170">
                  <c:v>78.333333333333542</c:v>
                </c:pt>
                <c:pt idx="171">
                  <c:v>78.500000000000213</c:v>
                </c:pt>
                <c:pt idx="172">
                  <c:v>78.666666666666885</c:v>
                </c:pt>
                <c:pt idx="173">
                  <c:v>78.833333333333556</c:v>
                </c:pt>
                <c:pt idx="174">
                  <c:v>79.000000000000227</c:v>
                </c:pt>
                <c:pt idx="175">
                  <c:v>79.166666666666899</c:v>
                </c:pt>
                <c:pt idx="176">
                  <c:v>79.33333333333357</c:v>
                </c:pt>
                <c:pt idx="177">
                  <c:v>79.500000000000242</c:v>
                </c:pt>
                <c:pt idx="178">
                  <c:v>79.666666666666913</c:v>
                </c:pt>
                <c:pt idx="179">
                  <c:v>79.833333333333584</c:v>
                </c:pt>
                <c:pt idx="180">
                  <c:v>80.000000000000256</c:v>
                </c:pt>
                <c:pt idx="181">
                  <c:v>79.666666666666927</c:v>
                </c:pt>
                <c:pt idx="182">
                  <c:v>79.333333333333599</c:v>
                </c:pt>
                <c:pt idx="183">
                  <c:v>79.00000000000027</c:v>
                </c:pt>
                <c:pt idx="184">
                  <c:v>78.666666666666941</c:v>
                </c:pt>
                <c:pt idx="185">
                  <c:v>78.333333333333613</c:v>
                </c:pt>
                <c:pt idx="186">
                  <c:v>78.000000000000284</c:v>
                </c:pt>
                <c:pt idx="187">
                  <c:v>77.666666666666956</c:v>
                </c:pt>
                <c:pt idx="188">
                  <c:v>77.333333333333627</c:v>
                </c:pt>
                <c:pt idx="189">
                  <c:v>77.000000000000298</c:v>
                </c:pt>
                <c:pt idx="190">
                  <c:v>76.66666666666697</c:v>
                </c:pt>
                <c:pt idx="191">
                  <c:v>76.333333333333641</c:v>
                </c:pt>
                <c:pt idx="192">
                  <c:v>76.000000000000313</c:v>
                </c:pt>
                <c:pt idx="193">
                  <c:v>75.666666666666984</c:v>
                </c:pt>
                <c:pt idx="194">
                  <c:v>75.333333333333655</c:v>
                </c:pt>
                <c:pt idx="195">
                  <c:v>75.000000000000327</c:v>
                </c:pt>
                <c:pt idx="196">
                  <c:v>74.666666666666998</c:v>
                </c:pt>
                <c:pt idx="197">
                  <c:v>74.33333333333367</c:v>
                </c:pt>
                <c:pt idx="198">
                  <c:v>74.000000000000341</c:v>
                </c:pt>
                <c:pt idx="199">
                  <c:v>73.666666666667012</c:v>
                </c:pt>
                <c:pt idx="200">
                  <c:v>73.333333333333684</c:v>
                </c:pt>
                <c:pt idx="201">
                  <c:v>73.000000000000355</c:v>
                </c:pt>
                <c:pt idx="202">
                  <c:v>72.666666666667027</c:v>
                </c:pt>
                <c:pt idx="203">
                  <c:v>72.333333333333698</c:v>
                </c:pt>
                <c:pt idx="204">
                  <c:v>72.000000000000369</c:v>
                </c:pt>
                <c:pt idx="205">
                  <c:v>71.666666666667041</c:v>
                </c:pt>
                <c:pt idx="206">
                  <c:v>71.333333333333712</c:v>
                </c:pt>
                <c:pt idx="207">
                  <c:v>71.000000000000384</c:v>
                </c:pt>
                <c:pt idx="208">
                  <c:v>70.666666666667055</c:v>
                </c:pt>
                <c:pt idx="209">
                  <c:v>70.333333333333727</c:v>
                </c:pt>
                <c:pt idx="210">
                  <c:v>70.000000000000398</c:v>
                </c:pt>
                <c:pt idx="211">
                  <c:v>69.666666666667069</c:v>
                </c:pt>
                <c:pt idx="212">
                  <c:v>69.333333333333741</c:v>
                </c:pt>
                <c:pt idx="213">
                  <c:v>69.000000000000412</c:v>
                </c:pt>
                <c:pt idx="214">
                  <c:v>68.666666666667084</c:v>
                </c:pt>
                <c:pt idx="215">
                  <c:v>68.333333333333755</c:v>
                </c:pt>
                <c:pt idx="216">
                  <c:v>68.000000000000426</c:v>
                </c:pt>
                <c:pt idx="217">
                  <c:v>67.666666666667098</c:v>
                </c:pt>
                <c:pt idx="218">
                  <c:v>67.333333333333769</c:v>
                </c:pt>
                <c:pt idx="219">
                  <c:v>67.000000000000441</c:v>
                </c:pt>
                <c:pt idx="220">
                  <c:v>66.666666666667112</c:v>
                </c:pt>
                <c:pt idx="221">
                  <c:v>66.333333333333783</c:v>
                </c:pt>
                <c:pt idx="222">
                  <c:v>66.000000000000455</c:v>
                </c:pt>
                <c:pt idx="223">
                  <c:v>65.666666666667126</c:v>
                </c:pt>
                <c:pt idx="224">
                  <c:v>65.333333333333798</c:v>
                </c:pt>
                <c:pt idx="225">
                  <c:v>65.000000000000469</c:v>
                </c:pt>
                <c:pt idx="226">
                  <c:v>64.66666666666714</c:v>
                </c:pt>
                <c:pt idx="227">
                  <c:v>64.333333333333812</c:v>
                </c:pt>
                <c:pt idx="228">
                  <c:v>64.000000000000483</c:v>
                </c:pt>
                <c:pt idx="229">
                  <c:v>63.666666666667147</c:v>
                </c:pt>
                <c:pt idx="230">
                  <c:v>63.333333333333812</c:v>
                </c:pt>
                <c:pt idx="231">
                  <c:v>63.000000000000476</c:v>
                </c:pt>
                <c:pt idx="232">
                  <c:v>62.66666666666714</c:v>
                </c:pt>
                <c:pt idx="233">
                  <c:v>62.333333333333805</c:v>
                </c:pt>
                <c:pt idx="234">
                  <c:v>62.000000000000469</c:v>
                </c:pt>
                <c:pt idx="235">
                  <c:v>61.666666666667133</c:v>
                </c:pt>
                <c:pt idx="236">
                  <c:v>61.333333333333798</c:v>
                </c:pt>
                <c:pt idx="237">
                  <c:v>61.000000000000462</c:v>
                </c:pt>
                <c:pt idx="238">
                  <c:v>60.666666666667126</c:v>
                </c:pt>
                <c:pt idx="239">
                  <c:v>60.33333333333379</c:v>
                </c:pt>
                <c:pt idx="240">
                  <c:v>60.000000000000455</c:v>
                </c:pt>
                <c:pt idx="241">
                  <c:v>59.666666666667119</c:v>
                </c:pt>
                <c:pt idx="242">
                  <c:v>59.333333333333783</c:v>
                </c:pt>
                <c:pt idx="243">
                  <c:v>59.000000000000448</c:v>
                </c:pt>
                <c:pt idx="244">
                  <c:v>58.666666666667112</c:v>
                </c:pt>
                <c:pt idx="245">
                  <c:v>58.333333333333776</c:v>
                </c:pt>
                <c:pt idx="246">
                  <c:v>58.000000000000441</c:v>
                </c:pt>
                <c:pt idx="247">
                  <c:v>57.666666666667105</c:v>
                </c:pt>
                <c:pt idx="248">
                  <c:v>57.333333333333769</c:v>
                </c:pt>
                <c:pt idx="249">
                  <c:v>57.000000000000433</c:v>
                </c:pt>
                <c:pt idx="250">
                  <c:v>56.666666666667098</c:v>
                </c:pt>
                <c:pt idx="251">
                  <c:v>56.333333333333762</c:v>
                </c:pt>
                <c:pt idx="252">
                  <c:v>56.000000000000426</c:v>
                </c:pt>
                <c:pt idx="253">
                  <c:v>55.666666666667091</c:v>
                </c:pt>
                <c:pt idx="254">
                  <c:v>55.333333333333755</c:v>
                </c:pt>
                <c:pt idx="255">
                  <c:v>55.000000000000419</c:v>
                </c:pt>
                <c:pt idx="256">
                  <c:v>54.666666666667084</c:v>
                </c:pt>
                <c:pt idx="257">
                  <c:v>54.333333333333748</c:v>
                </c:pt>
                <c:pt idx="258">
                  <c:v>54.000000000000412</c:v>
                </c:pt>
                <c:pt idx="259">
                  <c:v>53.666666666667076</c:v>
                </c:pt>
                <c:pt idx="260">
                  <c:v>53.333333333333741</c:v>
                </c:pt>
                <c:pt idx="261">
                  <c:v>53.000000000000405</c:v>
                </c:pt>
                <c:pt idx="262">
                  <c:v>52.666666666667069</c:v>
                </c:pt>
                <c:pt idx="263">
                  <c:v>52.333333333333734</c:v>
                </c:pt>
                <c:pt idx="264">
                  <c:v>52.000000000000398</c:v>
                </c:pt>
                <c:pt idx="265">
                  <c:v>51.666666666667062</c:v>
                </c:pt>
                <c:pt idx="266">
                  <c:v>51.333333333333727</c:v>
                </c:pt>
                <c:pt idx="267">
                  <c:v>51.000000000000391</c:v>
                </c:pt>
                <c:pt idx="268">
                  <c:v>50.666666666667055</c:v>
                </c:pt>
                <c:pt idx="269">
                  <c:v>50.333333333333719</c:v>
                </c:pt>
                <c:pt idx="270">
                  <c:v>50.000000000000384</c:v>
                </c:pt>
                <c:pt idx="271">
                  <c:v>49.666666666667048</c:v>
                </c:pt>
                <c:pt idx="272">
                  <c:v>49.333333333333712</c:v>
                </c:pt>
                <c:pt idx="273">
                  <c:v>49.000000000000377</c:v>
                </c:pt>
                <c:pt idx="274">
                  <c:v>48.666666666667041</c:v>
                </c:pt>
                <c:pt idx="275">
                  <c:v>48.333333333333705</c:v>
                </c:pt>
                <c:pt idx="276">
                  <c:v>48.000000000000369</c:v>
                </c:pt>
                <c:pt idx="277">
                  <c:v>47.666666666667034</c:v>
                </c:pt>
                <c:pt idx="278">
                  <c:v>47.333333333333698</c:v>
                </c:pt>
                <c:pt idx="279">
                  <c:v>47.000000000000362</c:v>
                </c:pt>
                <c:pt idx="280">
                  <c:v>46.666666666667027</c:v>
                </c:pt>
                <c:pt idx="281">
                  <c:v>46.333333333333691</c:v>
                </c:pt>
                <c:pt idx="282">
                  <c:v>46.000000000000355</c:v>
                </c:pt>
                <c:pt idx="283">
                  <c:v>45.66666666666702</c:v>
                </c:pt>
                <c:pt idx="284">
                  <c:v>45.333333333333684</c:v>
                </c:pt>
                <c:pt idx="285">
                  <c:v>45.000000000000348</c:v>
                </c:pt>
                <c:pt idx="286">
                  <c:v>44.666666666667012</c:v>
                </c:pt>
                <c:pt idx="287">
                  <c:v>44.333333333333677</c:v>
                </c:pt>
                <c:pt idx="288">
                  <c:v>44.000000000000341</c:v>
                </c:pt>
                <c:pt idx="289">
                  <c:v>43.666666666667005</c:v>
                </c:pt>
                <c:pt idx="290">
                  <c:v>43.33333333333367</c:v>
                </c:pt>
                <c:pt idx="291">
                  <c:v>43.000000000000334</c:v>
                </c:pt>
                <c:pt idx="292">
                  <c:v>42.666666666666998</c:v>
                </c:pt>
                <c:pt idx="293">
                  <c:v>42.333333333333663</c:v>
                </c:pt>
                <c:pt idx="294">
                  <c:v>42.000000000000327</c:v>
                </c:pt>
                <c:pt idx="295">
                  <c:v>41.666666666666991</c:v>
                </c:pt>
                <c:pt idx="296">
                  <c:v>41.333333333333655</c:v>
                </c:pt>
                <c:pt idx="297">
                  <c:v>41.00000000000032</c:v>
                </c:pt>
                <c:pt idx="298">
                  <c:v>40.666666666666984</c:v>
                </c:pt>
                <c:pt idx="299">
                  <c:v>40.333333333333648</c:v>
                </c:pt>
                <c:pt idx="300">
                  <c:v>40.000000000000313</c:v>
                </c:pt>
                <c:pt idx="301">
                  <c:v>39.666666666666977</c:v>
                </c:pt>
                <c:pt idx="302">
                  <c:v>39.333333333333641</c:v>
                </c:pt>
                <c:pt idx="303">
                  <c:v>39.000000000000306</c:v>
                </c:pt>
                <c:pt idx="304">
                  <c:v>38.66666666666697</c:v>
                </c:pt>
                <c:pt idx="305">
                  <c:v>38.333333333333634</c:v>
                </c:pt>
                <c:pt idx="306">
                  <c:v>38.000000000000298</c:v>
                </c:pt>
                <c:pt idx="307">
                  <c:v>37.666666666666963</c:v>
                </c:pt>
                <c:pt idx="308">
                  <c:v>37.333333333333627</c:v>
                </c:pt>
                <c:pt idx="309">
                  <c:v>37.000000000000291</c:v>
                </c:pt>
                <c:pt idx="310">
                  <c:v>36.666666666666956</c:v>
                </c:pt>
                <c:pt idx="311">
                  <c:v>36.33333333333362</c:v>
                </c:pt>
                <c:pt idx="312">
                  <c:v>36.000000000000284</c:v>
                </c:pt>
                <c:pt idx="313">
                  <c:v>35.666666666666949</c:v>
                </c:pt>
                <c:pt idx="314">
                  <c:v>35.333333333333613</c:v>
                </c:pt>
                <c:pt idx="315">
                  <c:v>35.000000000000277</c:v>
                </c:pt>
                <c:pt idx="316">
                  <c:v>34.666666666666941</c:v>
                </c:pt>
                <c:pt idx="317">
                  <c:v>34.333333333333606</c:v>
                </c:pt>
                <c:pt idx="318">
                  <c:v>34.00000000000027</c:v>
                </c:pt>
                <c:pt idx="319">
                  <c:v>33.666666666666934</c:v>
                </c:pt>
                <c:pt idx="320">
                  <c:v>33.333333333333599</c:v>
                </c:pt>
                <c:pt idx="321">
                  <c:v>33.000000000000263</c:v>
                </c:pt>
                <c:pt idx="322">
                  <c:v>32.666666666666927</c:v>
                </c:pt>
                <c:pt idx="323">
                  <c:v>32.333333333333591</c:v>
                </c:pt>
                <c:pt idx="324">
                  <c:v>32.000000000000256</c:v>
                </c:pt>
                <c:pt idx="325">
                  <c:v>31.666666666666924</c:v>
                </c:pt>
                <c:pt idx="326">
                  <c:v>31.333333333333591</c:v>
                </c:pt>
                <c:pt idx="327">
                  <c:v>31.000000000000259</c:v>
                </c:pt>
                <c:pt idx="328">
                  <c:v>30.666666666666927</c:v>
                </c:pt>
                <c:pt idx="329">
                  <c:v>30.333333333333595</c:v>
                </c:pt>
                <c:pt idx="330">
                  <c:v>30.000000000000263</c:v>
                </c:pt>
                <c:pt idx="331">
                  <c:v>29.666666666666931</c:v>
                </c:pt>
                <c:pt idx="332">
                  <c:v>29.333333333333599</c:v>
                </c:pt>
                <c:pt idx="333">
                  <c:v>29.000000000000266</c:v>
                </c:pt>
                <c:pt idx="334">
                  <c:v>28.666666666666934</c:v>
                </c:pt>
                <c:pt idx="335">
                  <c:v>28.333333333333602</c:v>
                </c:pt>
                <c:pt idx="336">
                  <c:v>28.00000000000027</c:v>
                </c:pt>
                <c:pt idx="337">
                  <c:v>27.666666666666938</c:v>
                </c:pt>
                <c:pt idx="338">
                  <c:v>27.333333333333606</c:v>
                </c:pt>
                <c:pt idx="339">
                  <c:v>27.000000000000274</c:v>
                </c:pt>
                <c:pt idx="340">
                  <c:v>26.666666666666941</c:v>
                </c:pt>
                <c:pt idx="341">
                  <c:v>26.333333333333609</c:v>
                </c:pt>
                <c:pt idx="342">
                  <c:v>26.000000000000277</c:v>
                </c:pt>
                <c:pt idx="343">
                  <c:v>25.666666666666945</c:v>
                </c:pt>
                <c:pt idx="344">
                  <c:v>25.333333333333613</c:v>
                </c:pt>
                <c:pt idx="345">
                  <c:v>25.000000000000281</c:v>
                </c:pt>
                <c:pt idx="346">
                  <c:v>24.666666666666949</c:v>
                </c:pt>
                <c:pt idx="347">
                  <c:v>24.333333333333616</c:v>
                </c:pt>
                <c:pt idx="348">
                  <c:v>24.000000000000284</c:v>
                </c:pt>
                <c:pt idx="349">
                  <c:v>23.666666666666952</c:v>
                </c:pt>
                <c:pt idx="350">
                  <c:v>23.33333333333362</c:v>
                </c:pt>
                <c:pt idx="351">
                  <c:v>23.000000000000288</c:v>
                </c:pt>
                <c:pt idx="352">
                  <c:v>22.666666666666956</c:v>
                </c:pt>
                <c:pt idx="353">
                  <c:v>22.333333333333623</c:v>
                </c:pt>
                <c:pt idx="354">
                  <c:v>22.000000000000291</c:v>
                </c:pt>
                <c:pt idx="355">
                  <c:v>21.666666666666959</c:v>
                </c:pt>
                <c:pt idx="356">
                  <c:v>21.333333333333627</c:v>
                </c:pt>
                <c:pt idx="357">
                  <c:v>21.000000000000295</c:v>
                </c:pt>
                <c:pt idx="358">
                  <c:v>20.666666666666963</c:v>
                </c:pt>
                <c:pt idx="359">
                  <c:v>20.333333333333631</c:v>
                </c:pt>
                <c:pt idx="360">
                  <c:v>20.000000000000298</c:v>
                </c:pt>
                <c:pt idx="361">
                  <c:v>20.166666666666966</c:v>
                </c:pt>
                <c:pt idx="362">
                  <c:v>20.333333333333634</c:v>
                </c:pt>
                <c:pt idx="363">
                  <c:v>20.500000000000302</c:v>
                </c:pt>
                <c:pt idx="364">
                  <c:v>20.66666666666697</c:v>
                </c:pt>
                <c:pt idx="365">
                  <c:v>20.833333333333638</c:v>
                </c:pt>
                <c:pt idx="366">
                  <c:v>21.000000000000306</c:v>
                </c:pt>
                <c:pt idx="367">
                  <c:v>21.166666666666973</c:v>
                </c:pt>
                <c:pt idx="368">
                  <c:v>21.333333333333641</c:v>
                </c:pt>
                <c:pt idx="369">
                  <c:v>21.500000000000309</c:v>
                </c:pt>
                <c:pt idx="370">
                  <c:v>21.666666666666977</c:v>
                </c:pt>
                <c:pt idx="371">
                  <c:v>21.833333333333645</c:v>
                </c:pt>
                <c:pt idx="372">
                  <c:v>22.000000000000313</c:v>
                </c:pt>
                <c:pt idx="373">
                  <c:v>22.16666666666698</c:v>
                </c:pt>
                <c:pt idx="374">
                  <c:v>22.333333333333648</c:v>
                </c:pt>
                <c:pt idx="375">
                  <c:v>22.500000000000316</c:v>
                </c:pt>
                <c:pt idx="376">
                  <c:v>22.666666666666984</c:v>
                </c:pt>
                <c:pt idx="377">
                  <c:v>22.833333333333652</c:v>
                </c:pt>
                <c:pt idx="378">
                  <c:v>23.00000000000032</c:v>
                </c:pt>
                <c:pt idx="379">
                  <c:v>23.166666666666988</c:v>
                </c:pt>
                <c:pt idx="380">
                  <c:v>23.333333333333655</c:v>
                </c:pt>
                <c:pt idx="381">
                  <c:v>23.500000000000323</c:v>
                </c:pt>
                <c:pt idx="382">
                  <c:v>23.666666666666991</c:v>
                </c:pt>
                <c:pt idx="383">
                  <c:v>23.833333333333659</c:v>
                </c:pt>
                <c:pt idx="384">
                  <c:v>24.000000000000327</c:v>
                </c:pt>
                <c:pt idx="385">
                  <c:v>24.166666666666995</c:v>
                </c:pt>
                <c:pt idx="386">
                  <c:v>24.333333333333663</c:v>
                </c:pt>
                <c:pt idx="387">
                  <c:v>24.50000000000033</c:v>
                </c:pt>
                <c:pt idx="388">
                  <c:v>24.666666666666998</c:v>
                </c:pt>
                <c:pt idx="389">
                  <c:v>24.833333333333666</c:v>
                </c:pt>
                <c:pt idx="390">
                  <c:v>25.000000000000334</c:v>
                </c:pt>
                <c:pt idx="391">
                  <c:v>25.166666666667002</c:v>
                </c:pt>
                <c:pt idx="392">
                  <c:v>25.33333333333367</c:v>
                </c:pt>
                <c:pt idx="393">
                  <c:v>25.500000000000338</c:v>
                </c:pt>
                <c:pt idx="394">
                  <c:v>25.666666666667005</c:v>
                </c:pt>
                <c:pt idx="395">
                  <c:v>25.833333333333673</c:v>
                </c:pt>
                <c:pt idx="396">
                  <c:v>26.000000000000341</c:v>
                </c:pt>
                <c:pt idx="397">
                  <c:v>26.166666666667009</c:v>
                </c:pt>
                <c:pt idx="398">
                  <c:v>26.333333333333677</c:v>
                </c:pt>
                <c:pt idx="399">
                  <c:v>26.500000000000345</c:v>
                </c:pt>
                <c:pt idx="400">
                  <c:v>26.666666666667012</c:v>
                </c:pt>
                <c:pt idx="401">
                  <c:v>26.83333333333368</c:v>
                </c:pt>
                <c:pt idx="402">
                  <c:v>27.000000000000348</c:v>
                </c:pt>
                <c:pt idx="403">
                  <c:v>27.166666666667016</c:v>
                </c:pt>
                <c:pt idx="404">
                  <c:v>27.333333333333684</c:v>
                </c:pt>
                <c:pt idx="405">
                  <c:v>27.500000000000352</c:v>
                </c:pt>
                <c:pt idx="406">
                  <c:v>27.66666666666702</c:v>
                </c:pt>
                <c:pt idx="407">
                  <c:v>27.833333333333687</c:v>
                </c:pt>
                <c:pt idx="408">
                  <c:v>28.000000000000355</c:v>
                </c:pt>
                <c:pt idx="409">
                  <c:v>28.166666666667023</c:v>
                </c:pt>
                <c:pt idx="410">
                  <c:v>28.333333333333691</c:v>
                </c:pt>
                <c:pt idx="411">
                  <c:v>28.500000000000359</c:v>
                </c:pt>
                <c:pt idx="412">
                  <c:v>28.666666666667027</c:v>
                </c:pt>
                <c:pt idx="413">
                  <c:v>28.833333333333695</c:v>
                </c:pt>
                <c:pt idx="414">
                  <c:v>29.000000000000362</c:v>
                </c:pt>
                <c:pt idx="415">
                  <c:v>29.16666666666703</c:v>
                </c:pt>
                <c:pt idx="416">
                  <c:v>29.333333333333698</c:v>
                </c:pt>
                <c:pt idx="417">
                  <c:v>29.500000000000366</c:v>
                </c:pt>
                <c:pt idx="418">
                  <c:v>29.666666666667034</c:v>
                </c:pt>
                <c:pt idx="419">
                  <c:v>29.833333333333702</c:v>
                </c:pt>
                <c:pt idx="420">
                  <c:v>30.000000000000369</c:v>
                </c:pt>
                <c:pt idx="421">
                  <c:v>30.166666666667037</c:v>
                </c:pt>
                <c:pt idx="422">
                  <c:v>30.333333333333705</c:v>
                </c:pt>
                <c:pt idx="423">
                  <c:v>30.500000000000373</c:v>
                </c:pt>
                <c:pt idx="424">
                  <c:v>30.666666666667041</c:v>
                </c:pt>
                <c:pt idx="425">
                  <c:v>30.833333333333709</c:v>
                </c:pt>
                <c:pt idx="426">
                  <c:v>31.000000000000377</c:v>
                </c:pt>
                <c:pt idx="427">
                  <c:v>31.166666666667044</c:v>
                </c:pt>
                <c:pt idx="428">
                  <c:v>31.333333333333712</c:v>
                </c:pt>
                <c:pt idx="429">
                  <c:v>31.50000000000038</c:v>
                </c:pt>
                <c:pt idx="430">
                  <c:v>31.666666666667048</c:v>
                </c:pt>
                <c:pt idx="431">
                  <c:v>31.833333333333716</c:v>
                </c:pt>
                <c:pt idx="432">
                  <c:v>32.000000000000384</c:v>
                </c:pt>
                <c:pt idx="433">
                  <c:v>32.166666666667048</c:v>
                </c:pt>
                <c:pt idx="434">
                  <c:v>32.333333333333712</c:v>
                </c:pt>
                <c:pt idx="435">
                  <c:v>32.500000000000377</c:v>
                </c:pt>
                <c:pt idx="436">
                  <c:v>32.666666666667041</c:v>
                </c:pt>
                <c:pt idx="437">
                  <c:v>32.833333333333705</c:v>
                </c:pt>
                <c:pt idx="438">
                  <c:v>33.000000000000369</c:v>
                </c:pt>
                <c:pt idx="439">
                  <c:v>33.166666666667034</c:v>
                </c:pt>
                <c:pt idx="440">
                  <c:v>33.333333333333698</c:v>
                </c:pt>
                <c:pt idx="441">
                  <c:v>33.500000000000362</c:v>
                </c:pt>
                <c:pt idx="442">
                  <c:v>33.666666666667027</c:v>
                </c:pt>
                <c:pt idx="443">
                  <c:v>33.833333333333691</c:v>
                </c:pt>
                <c:pt idx="444">
                  <c:v>34.000000000000355</c:v>
                </c:pt>
                <c:pt idx="445">
                  <c:v>34.16666666666702</c:v>
                </c:pt>
                <c:pt idx="446">
                  <c:v>34.333333333333684</c:v>
                </c:pt>
                <c:pt idx="447">
                  <c:v>34.500000000000348</c:v>
                </c:pt>
                <c:pt idx="448">
                  <c:v>34.666666666667012</c:v>
                </c:pt>
                <c:pt idx="449">
                  <c:v>34.833333333333677</c:v>
                </c:pt>
                <c:pt idx="450">
                  <c:v>35.000000000000341</c:v>
                </c:pt>
                <c:pt idx="451">
                  <c:v>35.166666666667005</c:v>
                </c:pt>
                <c:pt idx="452">
                  <c:v>35.33333333333367</c:v>
                </c:pt>
                <c:pt idx="453">
                  <c:v>35.500000000000334</c:v>
                </c:pt>
                <c:pt idx="454">
                  <c:v>35.666666666666998</c:v>
                </c:pt>
                <c:pt idx="455">
                  <c:v>35.833333333333663</c:v>
                </c:pt>
                <c:pt idx="456">
                  <c:v>36.000000000000327</c:v>
                </c:pt>
                <c:pt idx="457">
                  <c:v>36.166666666666991</c:v>
                </c:pt>
                <c:pt idx="458">
                  <c:v>36.333333333333655</c:v>
                </c:pt>
                <c:pt idx="459">
                  <c:v>36.50000000000032</c:v>
                </c:pt>
                <c:pt idx="460">
                  <c:v>36.666666666666984</c:v>
                </c:pt>
                <c:pt idx="461">
                  <c:v>36.833333333333648</c:v>
                </c:pt>
                <c:pt idx="462">
                  <c:v>37.000000000000313</c:v>
                </c:pt>
                <c:pt idx="463">
                  <c:v>37.166666666666977</c:v>
                </c:pt>
                <c:pt idx="464">
                  <c:v>37.333333333333641</c:v>
                </c:pt>
                <c:pt idx="465">
                  <c:v>37.500000000000306</c:v>
                </c:pt>
                <c:pt idx="466">
                  <c:v>37.66666666666697</c:v>
                </c:pt>
                <c:pt idx="467">
                  <c:v>37.833333333333634</c:v>
                </c:pt>
                <c:pt idx="468">
                  <c:v>38.000000000000298</c:v>
                </c:pt>
                <c:pt idx="469">
                  <c:v>38.166666666666963</c:v>
                </c:pt>
                <c:pt idx="470">
                  <c:v>38.333333333333627</c:v>
                </c:pt>
                <c:pt idx="471">
                  <c:v>38.500000000000291</c:v>
                </c:pt>
                <c:pt idx="472">
                  <c:v>38.666666666666956</c:v>
                </c:pt>
                <c:pt idx="473">
                  <c:v>38.83333333333362</c:v>
                </c:pt>
                <c:pt idx="474">
                  <c:v>39.000000000000284</c:v>
                </c:pt>
                <c:pt idx="475">
                  <c:v>39.166666666666949</c:v>
                </c:pt>
                <c:pt idx="476">
                  <c:v>39.333333333333613</c:v>
                </c:pt>
                <c:pt idx="477">
                  <c:v>39.500000000000277</c:v>
                </c:pt>
                <c:pt idx="478">
                  <c:v>39.666666666666941</c:v>
                </c:pt>
                <c:pt idx="479">
                  <c:v>39.833333333333606</c:v>
                </c:pt>
                <c:pt idx="480">
                  <c:v>40.00000000000027</c:v>
                </c:pt>
                <c:pt idx="481">
                  <c:v>40.166666666666934</c:v>
                </c:pt>
                <c:pt idx="482">
                  <c:v>40.333333333333599</c:v>
                </c:pt>
                <c:pt idx="483">
                  <c:v>40.500000000000263</c:v>
                </c:pt>
                <c:pt idx="484">
                  <c:v>40.666666666666927</c:v>
                </c:pt>
                <c:pt idx="485">
                  <c:v>40.833333333333591</c:v>
                </c:pt>
                <c:pt idx="486">
                  <c:v>41.000000000000256</c:v>
                </c:pt>
                <c:pt idx="487">
                  <c:v>41.16666666666692</c:v>
                </c:pt>
                <c:pt idx="488">
                  <c:v>41.333333333333584</c:v>
                </c:pt>
                <c:pt idx="489">
                  <c:v>41.500000000000249</c:v>
                </c:pt>
                <c:pt idx="490">
                  <c:v>41.666666666666913</c:v>
                </c:pt>
                <c:pt idx="491">
                  <c:v>41.833333333333577</c:v>
                </c:pt>
                <c:pt idx="492">
                  <c:v>42.000000000000242</c:v>
                </c:pt>
                <c:pt idx="493">
                  <c:v>42.166666666666906</c:v>
                </c:pt>
                <c:pt idx="494">
                  <c:v>42.33333333333357</c:v>
                </c:pt>
                <c:pt idx="495">
                  <c:v>42.500000000000234</c:v>
                </c:pt>
                <c:pt idx="496">
                  <c:v>42.666666666666899</c:v>
                </c:pt>
                <c:pt idx="497">
                  <c:v>42.833333333333563</c:v>
                </c:pt>
                <c:pt idx="498">
                  <c:v>43.000000000000227</c:v>
                </c:pt>
                <c:pt idx="499">
                  <c:v>43.166666666666892</c:v>
                </c:pt>
                <c:pt idx="500">
                  <c:v>43.333333333333556</c:v>
                </c:pt>
                <c:pt idx="501">
                  <c:v>43.50000000000022</c:v>
                </c:pt>
                <c:pt idx="502">
                  <c:v>43.666666666666885</c:v>
                </c:pt>
                <c:pt idx="503">
                  <c:v>43.833333333333549</c:v>
                </c:pt>
                <c:pt idx="504">
                  <c:v>44.000000000000213</c:v>
                </c:pt>
                <c:pt idx="505">
                  <c:v>44.166666666666877</c:v>
                </c:pt>
                <c:pt idx="506">
                  <c:v>44.333333333333542</c:v>
                </c:pt>
                <c:pt idx="507">
                  <c:v>44.500000000000206</c:v>
                </c:pt>
                <c:pt idx="508">
                  <c:v>44.66666666666687</c:v>
                </c:pt>
                <c:pt idx="509">
                  <c:v>44.833333333333535</c:v>
                </c:pt>
                <c:pt idx="510">
                  <c:v>45.000000000000199</c:v>
                </c:pt>
                <c:pt idx="511">
                  <c:v>45.166666666666863</c:v>
                </c:pt>
                <c:pt idx="512">
                  <c:v>45.333333333333528</c:v>
                </c:pt>
                <c:pt idx="513">
                  <c:v>45.500000000000192</c:v>
                </c:pt>
                <c:pt idx="514">
                  <c:v>45.666666666666856</c:v>
                </c:pt>
                <c:pt idx="515">
                  <c:v>45.83333333333352</c:v>
                </c:pt>
                <c:pt idx="516">
                  <c:v>46.000000000000185</c:v>
                </c:pt>
                <c:pt idx="517">
                  <c:v>46.166666666666849</c:v>
                </c:pt>
                <c:pt idx="518">
                  <c:v>46.333333333333513</c:v>
                </c:pt>
                <c:pt idx="519">
                  <c:v>46.500000000000178</c:v>
                </c:pt>
                <c:pt idx="520">
                  <c:v>46.666666666666842</c:v>
                </c:pt>
                <c:pt idx="521">
                  <c:v>46.833333333333506</c:v>
                </c:pt>
                <c:pt idx="522">
                  <c:v>47.000000000000171</c:v>
                </c:pt>
                <c:pt idx="523">
                  <c:v>47.166666666666835</c:v>
                </c:pt>
                <c:pt idx="524">
                  <c:v>47.333333333333499</c:v>
                </c:pt>
                <c:pt idx="525">
                  <c:v>47.500000000000163</c:v>
                </c:pt>
                <c:pt idx="526">
                  <c:v>47.666666666666828</c:v>
                </c:pt>
                <c:pt idx="527">
                  <c:v>47.833333333333492</c:v>
                </c:pt>
                <c:pt idx="528">
                  <c:v>48.000000000000156</c:v>
                </c:pt>
                <c:pt idx="529">
                  <c:v>48.166666666666821</c:v>
                </c:pt>
                <c:pt idx="530">
                  <c:v>48.333333333333485</c:v>
                </c:pt>
                <c:pt idx="531">
                  <c:v>48.500000000000149</c:v>
                </c:pt>
                <c:pt idx="532">
                  <c:v>48.666666666666814</c:v>
                </c:pt>
                <c:pt idx="533">
                  <c:v>48.833333333333478</c:v>
                </c:pt>
                <c:pt idx="534">
                  <c:v>49.000000000000142</c:v>
                </c:pt>
                <c:pt idx="535">
                  <c:v>49.166666666666806</c:v>
                </c:pt>
                <c:pt idx="536">
                  <c:v>49.333333333333471</c:v>
                </c:pt>
                <c:pt idx="537">
                  <c:v>49.500000000000135</c:v>
                </c:pt>
                <c:pt idx="538">
                  <c:v>49.666666666666799</c:v>
                </c:pt>
                <c:pt idx="539">
                  <c:v>49.833333333333464</c:v>
                </c:pt>
                <c:pt idx="540">
                  <c:v>50.000000000000128</c:v>
                </c:pt>
              </c:numCache>
            </c:numRef>
          </c:xVal>
          <c:yVal>
            <c:numRef>
              <c:f>Data!$C$2:$C$542</c:f>
              <c:numCache>
                <c:formatCode>0.00</c:formatCode>
                <c:ptCount val="541"/>
                <c:pt idx="0">
                  <c:v>20</c:v>
                </c:pt>
                <c:pt idx="1">
                  <c:v>20.333333333333329</c:v>
                </c:pt>
                <c:pt idx="2">
                  <c:v>20.666666666666657</c:v>
                </c:pt>
                <c:pt idx="3">
                  <c:v>20.999999999999986</c:v>
                </c:pt>
                <c:pt idx="4">
                  <c:v>21.333333333333314</c:v>
                </c:pt>
                <c:pt idx="5">
                  <c:v>21.666666666666643</c:v>
                </c:pt>
                <c:pt idx="6">
                  <c:v>21.999999999999972</c:v>
                </c:pt>
                <c:pt idx="7">
                  <c:v>22.3333333333333</c:v>
                </c:pt>
                <c:pt idx="8">
                  <c:v>22.666666666666629</c:v>
                </c:pt>
                <c:pt idx="9">
                  <c:v>22.999999999999957</c:v>
                </c:pt>
                <c:pt idx="10">
                  <c:v>23.333333333333286</c:v>
                </c:pt>
                <c:pt idx="11">
                  <c:v>23.666666666666615</c:v>
                </c:pt>
                <c:pt idx="12">
                  <c:v>23.999999999999943</c:v>
                </c:pt>
                <c:pt idx="13">
                  <c:v>24.333333333333272</c:v>
                </c:pt>
                <c:pt idx="14">
                  <c:v>24.6666666666666</c:v>
                </c:pt>
                <c:pt idx="15">
                  <c:v>24.999999999999929</c:v>
                </c:pt>
                <c:pt idx="16">
                  <c:v>25.333333333333258</c:v>
                </c:pt>
                <c:pt idx="17">
                  <c:v>25.666666666666586</c:v>
                </c:pt>
                <c:pt idx="18">
                  <c:v>25.999999999999915</c:v>
                </c:pt>
                <c:pt idx="19">
                  <c:v>26.333333333333243</c:v>
                </c:pt>
                <c:pt idx="20">
                  <c:v>26.666666666666572</c:v>
                </c:pt>
                <c:pt idx="21">
                  <c:v>26.999999999999901</c:v>
                </c:pt>
                <c:pt idx="22">
                  <c:v>27.333333333333229</c:v>
                </c:pt>
                <c:pt idx="23">
                  <c:v>27.666666666666558</c:v>
                </c:pt>
                <c:pt idx="24">
                  <c:v>27.999999999999886</c:v>
                </c:pt>
                <c:pt idx="25">
                  <c:v>28.333333333333215</c:v>
                </c:pt>
                <c:pt idx="26">
                  <c:v>28.666666666666544</c:v>
                </c:pt>
                <c:pt idx="27">
                  <c:v>28.999999999999872</c:v>
                </c:pt>
                <c:pt idx="28">
                  <c:v>29.333333333333201</c:v>
                </c:pt>
                <c:pt idx="29">
                  <c:v>29.666666666666529</c:v>
                </c:pt>
                <c:pt idx="30">
                  <c:v>29.999999999999858</c:v>
                </c:pt>
                <c:pt idx="31">
                  <c:v>30.333333333333186</c:v>
                </c:pt>
                <c:pt idx="32">
                  <c:v>30.666666666666515</c:v>
                </c:pt>
                <c:pt idx="33">
                  <c:v>30.999999999999844</c:v>
                </c:pt>
                <c:pt idx="34">
                  <c:v>31.333333333333172</c:v>
                </c:pt>
                <c:pt idx="35">
                  <c:v>31.666666666666501</c:v>
                </c:pt>
                <c:pt idx="36">
                  <c:v>31.999999999999829</c:v>
                </c:pt>
                <c:pt idx="37">
                  <c:v>32.333333333333158</c:v>
                </c:pt>
                <c:pt idx="38">
                  <c:v>32.666666666666487</c:v>
                </c:pt>
                <c:pt idx="39">
                  <c:v>32.999999999999815</c:v>
                </c:pt>
                <c:pt idx="40">
                  <c:v>33.333333333333144</c:v>
                </c:pt>
                <c:pt idx="41">
                  <c:v>33.666666666666472</c:v>
                </c:pt>
                <c:pt idx="42">
                  <c:v>33.999999999999801</c:v>
                </c:pt>
                <c:pt idx="43">
                  <c:v>34.33333333333313</c:v>
                </c:pt>
                <c:pt idx="44">
                  <c:v>34.666666666666458</c:v>
                </c:pt>
                <c:pt idx="45">
                  <c:v>34.999999999999787</c:v>
                </c:pt>
                <c:pt idx="46">
                  <c:v>35.333333333333115</c:v>
                </c:pt>
                <c:pt idx="47">
                  <c:v>35.666666666666444</c:v>
                </c:pt>
                <c:pt idx="48">
                  <c:v>35.999999999999773</c:v>
                </c:pt>
                <c:pt idx="49">
                  <c:v>36.333333333333101</c:v>
                </c:pt>
                <c:pt idx="50">
                  <c:v>36.66666666666643</c:v>
                </c:pt>
                <c:pt idx="51">
                  <c:v>36.999999999999758</c:v>
                </c:pt>
                <c:pt idx="52">
                  <c:v>37.333333333333087</c:v>
                </c:pt>
                <c:pt idx="53">
                  <c:v>37.666666666666416</c:v>
                </c:pt>
                <c:pt idx="54">
                  <c:v>37.999999999999744</c:v>
                </c:pt>
                <c:pt idx="55">
                  <c:v>38.333333333333073</c:v>
                </c:pt>
                <c:pt idx="56">
                  <c:v>38.666666666666401</c:v>
                </c:pt>
                <c:pt idx="57">
                  <c:v>38.99999999999973</c:v>
                </c:pt>
                <c:pt idx="58">
                  <c:v>39.333333333333059</c:v>
                </c:pt>
                <c:pt idx="59">
                  <c:v>39.666666666666387</c:v>
                </c:pt>
                <c:pt idx="60">
                  <c:v>39.999999999999716</c:v>
                </c:pt>
                <c:pt idx="61">
                  <c:v>40.333333333333044</c:v>
                </c:pt>
                <c:pt idx="62">
                  <c:v>40.666666666666373</c:v>
                </c:pt>
                <c:pt idx="63">
                  <c:v>40.999999999999702</c:v>
                </c:pt>
                <c:pt idx="64">
                  <c:v>41.33333333333303</c:v>
                </c:pt>
                <c:pt idx="65">
                  <c:v>41.666666666666359</c:v>
                </c:pt>
                <c:pt idx="66">
                  <c:v>41.999999999999687</c:v>
                </c:pt>
                <c:pt idx="67">
                  <c:v>42.333333333333016</c:v>
                </c:pt>
                <c:pt idx="68">
                  <c:v>42.666666666666345</c:v>
                </c:pt>
                <c:pt idx="69">
                  <c:v>42.999999999999673</c:v>
                </c:pt>
                <c:pt idx="70">
                  <c:v>43.333333333333002</c:v>
                </c:pt>
                <c:pt idx="71">
                  <c:v>43.66666666666633</c:v>
                </c:pt>
                <c:pt idx="72">
                  <c:v>43.999999999999659</c:v>
                </c:pt>
                <c:pt idx="73">
                  <c:v>44.333333333332988</c:v>
                </c:pt>
                <c:pt idx="74">
                  <c:v>44.666666666666316</c:v>
                </c:pt>
                <c:pt idx="75">
                  <c:v>44.999999999999645</c:v>
                </c:pt>
                <c:pt idx="76">
                  <c:v>45.333333333332973</c:v>
                </c:pt>
                <c:pt idx="77">
                  <c:v>45.666666666666302</c:v>
                </c:pt>
                <c:pt idx="78">
                  <c:v>45.999999999999631</c:v>
                </c:pt>
                <c:pt idx="79">
                  <c:v>46.333333333332959</c:v>
                </c:pt>
                <c:pt idx="80">
                  <c:v>46.666666666666288</c:v>
                </c:pt>
                <c:pt idx="81">
                  <c:v>46.999999999999616</c:v>
                </c:pt>
                <c:pt idx="82">
                  <c:v>47.333333333332945</c:v>
                </c:pt>
                <c:pt idx="83">
                  <c:v>47.666666666666273</c:v>
                </c:pt>
                <c:pt idx="84">
                  <c:v>47.999999999999602</c:v>
                </c:pt>
                <c:pt idx="85">
                  <c:v>48.333333333332945</c:v>
                </c:pt>
                <c:pt idx="86">
                  <c:v>48.666666666666288</c:v>
                </c:pt>
                <c:pt idx="87">
                  <c:v>48.999999999999631</c:v>
                </c:pt>
                <c:pt idx="88">
                  <c:v>49.333333333332973</c:v>
                </c:pt>
                <c:pt idx="89">
                  <c:v>49.666666666666316</c:v>
                </c:pt>
                <c:pt idx="90">
                  <c:v>49.999999999999659</c:v>
                </c:pt>
                <c:pt idx="91">
                  <c:v>50.333333333333002</c:v>
                </c:pt>
                <c:pt idx="92">
                  <c:v>50.666666666666345</c:v>
                </c:pt>
                <c:pt idx="93">
                  <c:v>50.999999999999687</c:v>
                </c:pt>
                <c:pt idx="94">
                  <c:v>51.33333333333303</c:v>
                </c:pt>
                <c:pt idx="95">
                  <c:v>51.666666666666373</c:v>
                </c:pt>
                <c:pt idx="96">
                  <c:v>51.999999999999716</c:v>
                </c:pt>
                <c:pt idx="97">
                  <c:v>52.333333333333059</c:v>
                </c:pt>
                <c:pt idx="98">
                  <c:v>52.666666666666401</c:v>
                </c:pt>
                <c:pt idx="99">
                  <c:v>52.999999999999744</c:v>
                </c:pt>
                <c:pt idx="100">
                  <c:v>53.333333333333087</c:v>
                </c:pt>
                <c:pt idx="101">
                  <c:v>53.66666666666643</c:v>
                </c:pt>
                <c:pt idx="102">
                  <c:v>53.999999999999773</c:v>
                </c:pt>
                <c:pt idx="103">
                  <c:v>54.333333333333115</c:v>
                </c:pt>
                <c:pt idx="104">
                  <c:v>54.666666666666458</c:v>
                </c:pt>
                <c:pt idx="105">
                  <c:v>54.999999999999801</c:v>
                </c:pt>
                <c:pt idx="106">
                  <c:v>55.333333333333144</c:v>
                </c:pt>
                <c:pt idx="107">
                  <c:v>55.666666666666487</c:v>
                </c:pt>
                <c:pt idx="108">
                  <c:v>55.999999999999829</c:v>
                </c:pt>
                <c:pt idx="109">
                  <c:v>56.333333333333172</c:v>
                </c:pt>
                <c:pt idx="110">
                  <c:v>56.666666666666515</c:v>
                </c:pt>
                <c:pt idx="111">
                  <c:v>56.999999999999858</c:v>
                </c:pt>
                <c:pt idx="112">
                  <c:v>57.333333333333201</c:v>
                </c:pt>
                <c:pt idx="113">
                  <c:v>57.666666666666544</c:v>
                </c:pt>
                <c:pt idx="114">
                  <c:v>57.999999999999886</c:v>
                </c:pt>
                <c:pt idx="115">
                  <c:v>58.333333333333229</c:v>
                </c:pt>
                <c:pt idx="116">
                  <c:v>58.666666666666572</c:v>
                </c:pt>
                <c:pt idx="117">
                  <c:v>58.999999999999915</c:v>
                </c:pt>
                <c:pt idx="118">
                  <c:v>59.333333333333258</c:v>
                </c:pt>
                <c:pt idx="119">
                  <c:v>59.6666666666666</c:v>
                </c:pt>
                <c:pt idx="120">
                  <c:v>59.999999999999943</c:v>
                </c:pt>
                <c:pt idx="121">
                  <c:v>60.333333333333286</c:v>
                </c:pt>
                <c:pt idx="122">
                  <c:v>60.666666666666629</c:v>
                </c:pt>
                <c:pt idx="123">
                  <c:v>60.999999999999972</c:v>
                </c:pt>
                <c:pt idx="124">
                  <c:v>61.333333333333314</c:v>
                </c:pt>
                <c:pt idx="125">
                  <c:v>61.666666666666657</c:v>
                </c:pt>
                <c:pt idx="126">
                  <c:v>62</c:v>
                </c:pt>
                <c:pt idx="127">
                  <c:v>62.333333333333343</c:v>
                </c:pt>
                <c:pt idx="128">
                  <c:v>62.666666666666686</c:v>
                </c:pt>
                <c:pt idx="129">
                  <c:v>63.000000000000028</c:v>
                </c:pt>
                <c:pt idx="130">
                  <c:v>63.333333333333371</c:v>
                </c:pt>
                <c:pt idx="131">
                  <c:v>63.666666666666714</c:v>
                </c:pt>
                <c:pt idx="132">
                  <c:v>64.000000000000057</c:v>
                </c:pt>
                <c:pt idx="133">
                  <c:v>64.3333333333334</c:v>
                </c:pt>
                <c:pt idx="134">
                  <c:v>64.666666666666742</c:v>
                </c:pt>
                <c:pt idx="135">
                  <c:v>65.000000000000085</c:v>
                </c:pt>
                <c:pt idx="136">
                  <c:v>65.333333333333428</c:v>
                </c:pt>
                <c:pt idx="137">
                  <c:v>65.666666666666771</c:v>
                </c:pt>
                <c:pt idx="138">
                  <c:v>66.000000000000114</c:v>
                </c:pt>
                <c:pt idx="139">
                  <c:v>66.333333333333456</c:v>
                </c:pt>
                <c:pt idx="140">
                  <c:v>66.666666666666799</c:v>
                </c:pt>
                <c:pt idx="141">
                  <c:v>67.000000000000142</c:v>
                </c:pt>
                <c:pt idx="142">
                  <c:v>67.333333333333485</c:v>
                </c:pt>
                <c:pt idx="143">
                  <c:v>67.666666666666828</c:v>
                </c:pt>
                <c:pt idx="144">
                  <c:v>68.000000000000171</c:v>
                </c:pt>
                <c:pt idx="145">
                  <c:v>68.333333333333513</c:v>
                </c:pt>
                <c:pt idx="146">
                  <c:v>68.666666666666856</c:v>
                </c:pt>
                <c:pt idx="147">
                  <c:v>69.000000000000199</c:v>
                </c:pt>
                <c:pt idx="148">
                  <c:v>69.333333333333542</c:v>
                </c:pt>
                <c:pt idx="149">
                  <c:v>69.666666666666885</c:v>
                </c:pt>
                <c:pt idx="150">
                  <c:v>70.000000000000227</c:v>
                </c:pt>
                <c:pt idx="151">
                  <c:v>70.33333333333357</c:v>
                </c:pt>
                <c:pt idx="152">
                  <c:v>70.666666666666913</c:v>
                </c:pt>
                <c:pt idx="153">
                  <c:v>71.000000000000256</c:v>
                </c:pt>
                <c:pt idx="154">
                  <c:v>71.333333333333599</c:v>
                </c:pt>
                <c:pt idx="155">
                  <c:v>71.666666666666941</c:v>
                </c:pt>
                <c:pt idx="156">
                  <c:v>72.000000000000284</c:v>
                </c:pt>
                <c:pt idx="157">
                  <c:v>72.333333333333627</c:v>
                </c:pt>
                <c:pt idx="158">
                  <c:v>72.66666666666697</c:v>
                </c:pt>
                <c:pt idx="159">
                  <c:v>73.000000000000313</c:v>
                </c:pt>
                <c:pt idx="160">
                  <c:v>73.333333333333655</c:v>
                </c:pt>
                <c:pt idx="161">
                  <c:v>73.666666666666998</c:v>
                </c:pt>
                <c:pt idx="162">
                  <c:v>74.000000000000341</c:v>
                </c:pt>
                <c:pt idx="163">
                  <c:v>74.333333333333684</c:v>
                </c:pt>
                <c:pt idx="164">
                  <c:v>74.666666666667027</c:v>
                </c:pt>
                <c:pt idx="165">
                  <c:v>75.000000000000369</c:v>
                </c:pt>
                <c:pt idx="166">
                  <c:v>75.333333333333712</c:v>
                </c:pt>
                <c:pt idx="167">
                  <c:v>75.666666666667055</c:v>
                </c:pt>
                <c:pt idx="168">
                  <c:v>76.000000000000398</c:v>
                </c:pt>
                <c:pt idx="169">
                  <c:v>76.333333333333741</c:v>
                </c:pt>
                <c:pt idx="170">
                  <c:v>76.666666666667084</c:v>
                </c:pt>
                <c:pt idx="171">
                  <c:v>77.000000000000426</c:v>
                </c:pt>
                <c:pt idx="172">
                  <c:v>77.333333333333769</c:v>
                </c:pt>
                <c:pt idx="173">
                  <c:v>77.666666666667112</c:v>
                </c:pt>
                <c:pt idx="174">
                  <c:v>78.000000000000455</c:v>
                </c:pt>
                <c:pt idx="175">
                  <c:v>78.333333333333798</c:v>
                </c:pt>
                <c:pt idx="176">
                  <c:v>78.66666666666714</c:v>
                </c:pt>
                <c:pt idx="177">
                  <c:v>79.000000000000483</c:v>
                </c:pt>
                <c:pt idx="178">
                  <c:v>79.333333333333826</c:v>
                </c:pt>
                <c:pt idx="179">
                  <c:v>79.666666666667169</c:v>
                </c:pt>
                <c:pt idx="180">
                  <c:v>80.000000000000512</c:v>
                </c:pt>
                <c:pt idx="181">
                  <c:v>80</c:v>
                </c:pt>
                <c:pt idx="182">
                  <c:v>80</c:v>
                </c:pt>
                <c:pt idx="183">
                  <c:v>80</c:v>
                </c:pt>
                <c:pt idx="184">
                  <c:v>80</c:v>
                </c:pt>
                <c:pt idx="185">
                  <c:v>80</c:v>
                </c:pt>
                <c:pt idx="186">
                  <c:v>80</c:v>
                </c:pt>
                <c:pt idx="187">
                  <c:v>80</c:v>
                </c:pt>
                <c:pt idx="188">
                  <c:v>80</c:v>
                </c:pt>
                <c:pt idx="189">
                  <c:v>80</c:v>
                </c:pt>
                <c:pt idx="190">
                  <c:v>80</c:v>
                </c:pt>
                <c:pt idx="191">
                  <c:v>80</c:v>
                </c:pt>
                <c:pt idx="192">
                  <c:v>80</c:v>
                </c:pt>
                <c:pt idx="193">
                  <c:v>80</c:v>
                </c:pt>
                <c:pt idx="194">
                  <c:v>80</c:v>
                </c:pt>
                <c:pt idx="195">
                  <c:v>80</c:v>
                </c:pt>
                <c:pt idx="196">
                  <c:v>80</c:v>
                </c:pt>
                <c:pt idx="197">
                  <c:v>80</c:v>
                </c:pt>
                <c:pt idx="198">
                  <c:v>80</c:v>
                </c:pt>
                <c:pt idx="199">
                  <c:v>80</c:v>
                </c:pt>
                <c:pt idx="200">
                  <c:v>80</c:v>
                </c:pt>
                <c:pt idx="201">
                  <c:v>80</c:v>
                </c:pt>
                <c:pt idx="202">
                  <c:v>80</c:v>
                </c:pt>
                <c:pt idx="203">
                  <c:v>80</c:v>
                </c:pt>
                <c:pt idx="204">
                  <c:v>80</c:v>
                </c:pt>
                <c:pt idx="205">
                  <c:v>80</c:v>
                </c:pt>
                <c:pt idx="206">
                  <c:v>80</c:v>
                </c:pt>
                <c:pt idx="207">
                  <c:v>80</c:v>
                </c:pt>
                <c:pt idx="208">
                  <c:v>80</c:v>
                </c:pt>
                <c:pt idx="209">
                  <c:v>80</c:v>
                </c:pt>
                <c:pt idx="210">
                  <c:v>80</c:v>
                </c:pt>
                <c:pt idx="211">
                  <c:v>80</c:v>
                </c:pt>
                <c:pt idx="212">
                  <c:v>80</c:v>
                </c:pt>
                <c:pt idx="213">
                  <c:v>80</c:v>
                </c:pt>
                <c:pt idx="214">
                  <c:v>80</c:v>
                </c:pt>
                <c:pt idx="215">
                  <c:v>80</c:v>
                </c:pt>
                <c:pt idx="216">
                  <c:v>80</c:v>
                </c:pt>
                <c:pt idx="217">
                  <c:v>80</c:v>
                </c:pt>
                <c:pt idx="218">
                  <c:v>80</c:v>
                </c:pt>
                <c:pt idx="219">
                  <c:v>80</c:v>
                </c:pt>
                <c:pt idx="220">
                  <c:v>80</c:v>
                </c:pt>
                <c:pt idx="221">
                  <c:v>80</c:v>
                </c:pt>
                <c:pt idx="222">
                  <c:v>80</c:v>
                </c:pt>
                <c:pt idx="223">
                  <c:v>80</c:v>
                </c:pt>
                <c:pt idx="224">
                  <c:v>80</c:v>
                </c:pt>
                <c:pt idx="225">
                  <c:v>80</c:v>
                </c:pt>
                <c:pt idx="226">
                  <c:v>80</c:v>
                </c:pt>
                <c:pt idx="227">
                  <c:v>80</c:v>
                </c:pt>
                <c:pt idx="228">
                  <c:v>80</c:v>
                </c:pt>
                <c:pt idx="229">
                  <c:v>80</c:v>
                </c:pt>
                <c:pt idx="230">
                  <c:v>80</c:v>
                </c:pt>
                <c:pt idx="231">
                  <c:v>80</c:v>
                </c:pt>
                <c:pt idx="232">
                  <c:v>80</c:v>
                </c:pt>
                <c:pt idx="233">
                  <c:v>80</c:v>
                </c:pt>
                <c:pt idx="234">
                  <c:v>80</c:v>
                </c:pt>
                <c:pt idx="235">
                  <c:v>80</c:v>
                </c:pt>
                <c:pt idx="236">
                  <c:v>80</c:v>
                </c:pt>
                <c:pt idx="237">
                  <c:v>80</c:v>
                </c:pt>
                <c:pt idx="238">
                  <c:v>80</c:v>
                </c:pt>
                <c:pt idx="239">
                  <c:v>80</c:v>
                </c:pt>
                <c:pt idx="240">
                  <c:v>80</c:v>
                </c:pt>
                <c:pt idx="241">
                  <c:v>80</c:v>
                </c:pt>
                <c:pt idx="242">
                  <c:v>80</c:v>
                </c:pt>
                <c:pt idx="243">
                  <c:v>80</c:v>
                </c:pt>
                <c:pt idx="244">
                  <c:v>80</c:v>
                </c:pt>
                <c:pt idx="245">
                  <c:v>80</c:v>
                </c:pt>
                <c:pt idx="246">
                  <c:v>80</c:v>
                </c:pt>
                <c:pt idx="247">
                  <c:v>80</c:v>
                </c:pt>
                <c:pt idx="248">
                  <c:v>80</c:v>
                </c:pt>
                <c:pt idx="249">
                  <c:v>80</c:v>
                </c:pt>
                <c:pt idx="250">
                  <c:v>80</c:v>
                </c:pt>
                <c:pt idx="251">
                  <c:v>80</c:v>
                </c:pt>
                <c:pt idx="252">
                  <c:v>80</c:v>
                </c:pt>
                <c:pt idx="253">
                  <c:v>80</c:v>
                </c:pt>
                <c:pt idx="254">
                  <c:v>80</c:v>
                </c:pt>
                <c:pt idx="255">
                  <c:v>80</c:v>
                </c:pt>
                <c:pt idx="256">
                  <c:v>80</c:v>
                </c:pt>
                <c:pt idx="257">
                  <c:v>80</c:v>
                </c:pt>
                <c:pt idx="258">
                  <c:v>80</c:v>
                </c:pt>
                <c:pt idx="259">
                  <c:v>80</c:v>
                </c:pt>
                <c:pt idx="260">
                  <c:v>80</c:v>
                </c:pt>
                <c:pt idx="261">
                  <c:v>80</c:v>
                </c:pt>
                <c:pt idx="262">
                  <c:v>80</c:v>
                </c:pt>
                <c:pt idx="263">
                  <c:v>80</c:v>
                </c:pt>
                <c:pt idx="264">
                  <c:v>80</c:v>
                </c:pt>
                <c:pt idx="265">
                  <c:v>80</c:v>
                </c:pt>
                <c:pt idx="266">
                  <c:v>80</c:v>
                </c:pt>
                <c:pt idx="267">
                  <c:v>80</c:v>
                </c:pt>
                <c:pt idx="268">
                  <c:v>80</c:v>
                </c:pt>
                <c:pt idx="269">
                  <c:v>80</c:v>
                </c:pt>
                <c:pt idx="270">
                  <c:v>80</c:v>
                </c:pt>
                <c:pt idx="271">
                  <c:v>80</c:v>
                </c:pt>
                <c:pt idx="272">
                  <c:v>80</c:v>
                </c:pt>
                <c:pt idx="273">
                  <c:v>80</c:v>
                </c:pt>
                <c:pt idx="274">
                  <c:v>80</c:v>
                </c:pt>
                <c:pt idx="275">
                  <c:v>80</c:v>
                </c:pt>
                <c:pt idx="276">
                  <c:v>80</c:v>
                </c:pt>
                <c:pt idx="277">
                  <c:v>80</c:v>
                </c:pt>
                <c:pt idx="278">
                  <c:v>80</c:v>
                </c:pt>
                <c:pt idx="279">
                  <c:v>80</c:v>
                </c:pt>
                <c:pt idx="280">
                  <c:v>80</c:v>
                </c:pt>
                <c:pt idx="281">
                  <c:v>80</c:v>
                </c:pt>
                <c:pt idx="282">
                  <c:v>80</c:v>
                </c:pt>
                <c:pt idx="283">
                  <c:v>80</c:v>
                </c:pt>
                <c:pt idx="284">
                  <c:v>80</c:v>
                </c:pt>
                <c:pt idx="285">
                  <c:v>80</c:v>
                </c:pt>
                <c:pt idx="286">
                  <c:v>80</c:v>
                </c:pt>
                <c:pt idx="287">
                  <c:v>80</c:v>
                </c:pt>
                <c:pt idx="288">
                  <c:v>80</c:v>
                </c:pt>
                <c:pt idx="289">
                  <c:v>80</c:v>
                </c:pt>
                <c:pt idx="290">
                  <c:v>80</c:v>
                </c:pt>
                <c:pt idx="291">
                  <c:v>80</c:v>
                </c:pt>
                <c:pt idx="292">
                  <c:v>80</c:v>
                </c:pt>
                <c:pt idx="293">
                  <c:v>80</c:v>
                </c:pt>
                <c:pt idx="294">
                  <c:v>80</c:v>
                </c:pt>
                <c:pt idx="295">
                  <c:v>80</c:v>
                </c:pt>
                <c:pt idx="296">
                  <c:v>80</c:v>
                </c:pt>
                <c:pt idx="297">
                  <c:v>80</c:v>
                </c:pt>
                <c:pt idx="298">
                  <c:v>80</c:v>
                </c:pt>
                <c:pt idx="299">
                  <c:v>80</c:v>
                </c:pt>
                <c:pt idx="300">
                  <c:v>80</c:v>
                </c:pt>
                <c:pt idx="301">
                  <c:v>80</c:v>
                </c:pt>
                <c:pt idx="302">
                  <c:v>80</c:v>
                </c:pt>
                <c:pt idx="303">
                  <c:v>80</c:v>
                </c:pt>
                <c:pt idx="304">
                  <c:v>80</c:v>
                </c:pt>
                <c:pt idx="305">
                  <c:v>80</c:v>
                </c:pt>
                <c:pt idx="306">
                  <c:v>80</c:v>
                </c:pt>
                <c:pt idx="307">
                  <c:v>80</c:v>
                </c:pt>
                <c:pt idx="308">
                  <c:v>80</c:v>
                </c:pt>
                <c:pt idx="309">
                  <c:v>80</c:v>
                </c:pt>
                <c:pt idx="310">
                  <c:v>80</c:v>
                </c:pt>
                <c:pt idx="311">
                  <c:v>80</c:v>
                </c:pt>
                <c:pt idx="312">
                  <c:v>80</c:v>
                </c:pt>
                <c:pt idx="313">
                  <c:v>80</c:v>
                </c:pt>
                <c:pt idx="314">
                  <c:v>80</c:v>
                </c:pt>
                <c:pt idx="315">
                  <c:v>80</c:v>
                </c:pt>
                <c:pt idx="316">
                  <c:v>80</c:v>
                </c:pt>
                <c:pt idx="317">
                  <c:v>80</c:v>
                </c:pt>
                <c:pt idx="318">
                  <c:v>80</c:v>
                </c:pt>
                <c:pt idx="319">
                  <c:v>80</c:v>
                </c:pt>
                <c:pt idx="320">
                  <c:v>80</c:v>
                </c:pt>
                <c:pt idx="321">
                  <c:v>80</c:v>
                </c:pt>
                <c:pt idx="322">
                  <c:v>80</c:v>
                </c:pt>
                <c:pt idx="323">
                  <c:v>80</c:v>
                </c:pt>
                <c:pt idx="324">
                  <c:v>80</c:v>
                </c:pt>
                <c:pt idx="325">
                  <c:v>80</c:v>
                </c:pt>
                <c:pt idx="326">
                  <c:v>80</c:v>
                </c:pt>
                <c:pt idx="327">
                  <c:v>80</c:v>
                </c:pt>
                <c:pt idx="328">
                  <c:v>80</c:v>
                </c:pt>
                <c:pt idx="329">
                  <c:v>80</c:v>
                </c:pt>
                <c:pt idx="330">
                  <c:v>80</c:v>
                </c:pt>
                <c:pt idx="331">
                  <c:v>80</c:v>
                </c:pt>
                <c:pt idx="332">
                  <c:v>80</c:v>
                </c:pt>
                <c:pt idx="333">
                  <c:v>80</c:v>
                </c:pt>
                <c:pt idx="334">
                  <c:v>80</c:v>
                </c:pt>
                <c:pt idx="335">
                  <c:v>80</c:v>
                </c:pt>
                <c:pt idx="336">
                  <c:v>80</c:v>
                </c:pt>
                <c:pt idx="337">
                  <c:v>80</c:v>
                </c:pt>
                <c:pt idx="338">
                  <c:v>80</c:v>
                </c:pt>
                <c:pt idx="339">
                  <c:v>80</c:v>
                </c:pt>
                <c:pt idx="340">
                  <c:v>80</c:v>
                </c:pt>
                <c:pt idx="341">
                  <c:v>80</c:v>
                </c:pt>
                <c:pt idx="342">
                  <c:v>80</c:v>
                </c:pt>
                <c:pt idx="343">
                  <c:v>80</c:v>
                </c:pt>
                <c:pt idx="344">
                  <c:v>80</c:v>
                </c:pt>
                <c:pt idx="345">
                  <c:v>80</c:v>
                </c:pt>
                <c:pt idx="346">
                  <c:v>80</c:v>
                </c:pt>
                <c:pt idx="347">
                  <c:v>80</c:v>
                </c:pt>
                <c:pt idx="348">
                  <c:v>80</c:v>
                </c:pt>
                <c:pt idx="349">
                  <c:v>80</c:v>
                </c:pt>
                <c:pt idx="350">
                  <c:v>80</c:v>
                </c:pt>
                <c:pt idx="351">
                  <c:v>80</c:v>
                </c:pt>
                <c:pt idx="352">
                  <c:v>80</c:v>
                </c:pt>
                <c:pt idx="353">
                  <c:v>80</c:v>
                </c:pt>
                <c:pt idx="354">
                  <c:v>80</c:v>
                </c:pt>
                <c:pt idx="355">
                  <c:v>80</c:v>
                </c:pt>
                <c:pt idx="356">
                  <c:v>80</c:v>
                </c:pt>
                <c:pt idx="357">
                  <c:v>80</c:v>
                </c:pt>
                <c:pt idx="358">
                  <c:v>80</c:v>
                </c:pt>
                <c:pt idx="359">
                  <c:v>80</c:v>
                </c:pt>
                <c:pt idx="360">
                  <c:v>80</c:v>
                </c:pt>
                <c:pt idx="361">
                  <c:v>79.66666666666606</c:v>
                </c:pt>
                <c:pt idx="362">
                  <c:v>79.333333333332732</c:v>
                </c:pt>
                <c:pt idx="363">
                  <c:v>78.999999999999403</c:v>
                </c:pt>
                <c:pt idx="364">
                  <c:v>78.66666666666606</c:v>
                </c:pt>
                <c:pt idx="365">
                  <c:v>78.333333333332718</c:v>
                </c:pt>
                <c:pt idx="366">
                  <c:v>77.999999999999389</c:v>
                </c:pt>
                <c:pt idx="367">
                  <c:v>77.66666666666606</c:v>
                </c:pt>
                <c:pt idx="368">
                  <c:v>77.333333333332718</c:v>
                </c:pt>
                <c:pt idx="369">
                  <c:v>76.999999999999375</c:v>
                </c:pt>
                <c:pt idx="370">
                  <c:v>76.666666666666046</c:v>
                </c:pt>
                <c:pt idx="371">
                  <c:v>76.333333333332718</c:v>
                </c:pt>
                <c:pt idx="372">
                  <c:v>75.999999999999375</c:v>
                </c:pt>
                <c:pt idx="373">
                  <c:v>75.666666666666032</c:v>
                </c:pt>
                <c:pt idx="374">
                  <c:v>75.333333333332703</c:v>
                </c:pt>
                <c:pt idx="375">
                  <c:v>74.999999999999375</c:v>
                </c:pt>
                <c:pt idx="376">
                  <c:v>74.666666666666032</c:v>
                </c:pt>
                <c:pt idx="377">
                  <c:v>74.333333333332689</c:v>
                </c:pt>
                <c:pt idx="378">
                  <c:v>73.999999999999361</c:v>
                </c:pt>
                <c:pt idx="379">
                  <c:v>73.666666666666032</c:v>
                </c:pt>
                <c:pt idx="380">
                  <c:v>73.333333333332689</c:v>
                </c:pt>
                <c:pt idx="381">
                  <c:v>72.999999999999346</c:v>
                </c:pt>
                <c:pt idx="382">
                  <c:v>72.666666666666018</c:v>
                </c:pt>
                <c:pt idx="383">
                  <c:v>72.333333333332689</c:v>
                </c:pt>
                <c:pt idx="384">
                  <c:v>71.999999999999346</c:v>
                </c:pt>
                <c:pt idx="385">
                  <c:v>71.666666666666003</c:v>
                </c:pt>
                <c:pt idx="386">
                  <c:v>71.333333333332675</c:v>
                </c:pt>
                <c:pt idx="387">
                  <c:v>70.999999999999346</c:v>
                </c:pt>
                <c:pt idx="388">
                  <c:v>70.666666666666003</c:v>
                </c:pt>
                <c:pt idx="389">
                  <c:v>70.333333333332661</c:v>
                </c:pt>
                <c:pt idx="390">
                  <c:v>69.999999999999332</c:v>
                </c:pt>
                <c:pt idx="391">
                  <c:v>69.666666666666003</c:v>
                </c:pt>
                <c:pt idx="392">
                  <c:v>69.333333333332661</c:v>
                </c:pt>
                <c:pt idx="393">
                  <c:v>68.999999999999318</c:v>
                </c:pt>
                <c:pt idx="394">
                  <c:v>68.666666666665989</c:v>
                </c:pt>
                <c:pt idx="395">
                  <c:v>68.333333333332661</c:v>
                </c:pt>
                <c:pt idx="396">
                  <c:v>67.999999999999318</c:v>
                </c:pt>
                <c:pt idx="397">
                  <c:v>67.666666666665975</c:v>
                </c:pt>
                <c:pt idx="398">
                  <c:v>67.333333333332646</c:v>
                </c:pt>
                <c:pt idx="399">
                  <c:v>66.999999999999318</c:v>
                </c:pt>
                <c:pt idx="400">
                  <c:v>66.666666666665975</c:v>
                </c:pt>
                <c:pt idx="401">
                  <c:v>66.333333333332632</c:v>
                </c:pt>
                <c:pt idx="402">
                  <c:v>65.999999999999304</c:v>
                </c:pt>
                <c:pt idx="403">
                  <c:v>65.666666666665975</c:v>
                </c:pt>
                <c:pt idx="404">
                  <c:v>65.333333333332632</c:v>
                </c:pt>
                <c:pt idx="405">
                  <c:v>64.999999999999289</c:v>
                </c:pt>
                <c:pt idx="406">
                  <c:v>64.666666666665961</c:v>
                </c:pt>
                <c:pt idx="407">
                  <c:v>64.333333333332632</c:v>
                </c:pt>
                <c:pt idx="408">
                  <c:v>63.999999999999289</c:v>
                </c:pt>
                <c:pt idx="409">
                  <c:v>63.666666666665954</c:v>
                </c:pt>
                <c:pt idx="410">
                  <c:v>63.333333333332618</c:v>
                </c:pt>
                <c:pt idx="411">
                  <c:v>62.999999999999282</c:v>
                </c:pt>
                <c:pt idx="412">
                  <c:v>62.666666666665947</c:v>
                </c:pt>
                <c:pt idx="413">
                  <c:v>62.333333333332611</c:v>
                </c:pt>
                <c:pt idx="414">
                  <c:v>61.999999999999275</c:v>
                </c:pt>
                <c:pt idx="415">
                  <c:v>61.66666666666594</c:v>
                </c:pt>
                <c:pt idx="416">
                  <c:v>61.333333333332604</c:v>
                </c:pt>
                <c:pt idx="417">
                  <c:v>60.999999999999268</c:v>
                </c:pt>
                <c:pt idx="418">
                  <c:v>60.666666666665932</c:v>
                </c:pt>
                <c:pt idx="419">
                  <c:v>60.333333333332597</c:v>
                </c:pt>
                <c:pt idx="420">
                  <c:v>59.999999999999261</c:v>
                </c:pt>
                <c:pt idx="421">
                  <c:v>59.666666666665925</c:v>
                </c:pt>
                <c:pt idx="422">
                  <c:v>59.33333333333259</c:v>
                </c:pt>
                <c:pt idx="423">
                  <c:v>58.999999999999254</c:v>
                </c:pt>
                <c:pt idx="424">
                  <c:v>58.666666666665918</c:v>
                </c:pt>
                <c:pt idx="425">
                  <c:v>58.333333333332583</c:v>
                </c:pt>
                <c:pt idx="426">
                  <c:v>57.999999999999247</c:v>
                </c:pt>
                <c:pt idx="427">
                  <c:v>57.666666666665911</c:v>
                </c:pt>
                <c:pt idx="428">
                  <c:v>57.333333333332575</c:v>
                </c:pt>
                <c:pt idx="429">
                  <c:v>56.99999999999924</c:v>
                </c:pt>
                <c:pt idx="430">
                  <c:v>56.666666666665904</c:v>
                </c:pt>
                <c:pt idx="431">
                  <c:v>56.333333333332568</c:v>
                </c:pt>
                <c:pt idx="432">
                  <c:v>55.999999999999233</c:v>
                </c:pt>
                <c:pt idx="433">
                  <c:v>55.666666666665904</c:v>
                </c:pt>
                <c:pt idx="434">
                  <c:v>55.333333333332575</c:v>
                </c:pt>
                <c:pt idx="435">
                  <c:v>54.999999999999247</c:v>
                </c:pt>
                <c:pt idx="436">
                  <c:v>54.666666666665918</c:v>
                </c:pt>
                <c:pt idx="437">
                  <c:v>54.33333333333259</c:v>
                </c:pt>
                <c:pt idx="438">
                  <c:v>53.999999999999261</c:v>
                </c:pt>
                <c:pt idx="439">
                  <c:v>53.666666666665932</c:v>
                </c:pt>
                <c:pt idx="440">
                  <c:v>53.333333333332604</c:v>
                </c:pt>
                <c:pt idx="441">
                  <c:v>52.999999999999275</c:v>
                </c:pt>
                <c:pt idx="442">
                  <c:v>52.666666666665947</c:v>
                </c:pt>
                <c:pt idx="443">
                  <c:v>52.333333333332618</c:v>
                </c:pt>
                <c:pt idx="444">
                  <c:v>51.999999999999289</c:v>
                </c:pt>
                <c:pt idx="445">
                  <c:v>51.666666666665961</c:v>
                </c:pt>
                <c:pt idx="446">
                  <c:v>51.333333333332632</c:v>
                </c:pt>
                <c:pt idx="447">
                  <c:v>50.999999999999304</c:v>
                </c:pt>
                <c:pt idx="448">
                  <c:v>50.666666666665975</c:v>
                </c:pt>
                <c:pt idx="449">
                  <c:v>50.333333333332646</c:v>
                </c:pt>
                <c:pt idx="450">
                  <c:v>49.999999999999318</c:v>
                </c:pt>
                <c:pt idx="451">
                  <c:v>49.666666666665989</c:v>
                </c:pt>
                <c:pt idx="452">
                  <c:v>49.333333333332661</c:v>
                </c:pt>
                <c:pt idx="453">
                  <c:v>48.999999999999332</c:v>
                </c:pt>
                <c:pt idx="454">
                  <c:v>48.666666666666003</c:v>
                </c:pt>
                <c:pt idx="455">
                  <c:v>48.333333333332675</c:v>
                </c:pt>
                <c:pt idx="456">
                  <c:v>47.999999999999346</c:v>
                </c:pt>
                <c:pt idx="457">
                  <c:v>47.666666666666018</c:v>
                </c:pt>
                <c:pt idx="458">
                  <c:v>47.333333333332689</c:v>
                </c:pt>
                <c:pt idx="459">
                  <c:v>46.999999999999361</c:v>
                </c:pt>
                <c:pt idx="460">
                  <c:v>46.666666666666032</c:v>
                </c:pt>
                <c:pt idx="461">
                  <c:v>46.333333333332703</c:v>
                </c:pt>
                <c:pt idx="462">
                  <c:v>45.999999999999375</c:v>
                </c:pt>
                <c:pt idx="463">
                  <c:v>45.666666666666046</c:v>
                </c:pt>
                <c:pt idx="464">
                  <c:v>45.333333333332718</c:v>
                </c:pt>
                <c:pt idx="465">
                  <c:v>44.999999999999389</c:v>
                </c:pt>
                <c:pt idx="466">
                  <c:v>44.66666666666606</c:v>
                </c:pt>
                <c:pt idx="467">
                  <c:v>44.333333333332732</c:v>
                </c:pt>
                <c:pt idx="468">
                  <c:v>43.999999999999403</c:v>
                </c:pt>
                <c:pt idx="469">
                  <c:v>43.666666666666075</c:v>
                </c:pt>
                <c:pt idx="470">
                  <c:v>43.333333333332746</c:v>
                </c:pt>
                <c:pt idx="471">
                  <c:v>42.999999999999417</c:v>
                </c:pt>
                <c:pt idx="472">
                  <c:v>42.666666666666089</c:v>
                </c:pt>
                <c:pt idx="473">
                  <c:v>42.33333333333276</c:v>
                </c:pt>
                <c:pt idx="474">
                  <c:v>41.999999999999432</c:v>
                </c:pt>
                <c:pt idx="475">
                  <c:v>41.666666666666103</c:v>
                </c:pt>
                <c:pt idx="476">
                  <c:v>41.333333333332774</c:v>
                </c:pt>
                <c:pt idx="477">
                  <c:v>40.999999999999446</c:v>
                </c:pt>
                <c:pt idx="478">
                  <c:v>40.666666666666117</c:v>
                </c:pt>
                <c:pt idx="479">
                  <c:v>40.333333333332789</c:v>
                </c:pt>
                <c:pt idx="480">
                  <c:v>39.99999999999946</c:v>
                </c:pt>
                <c:pt idx="481">
                  <c:v>39.666666666666131</c:v>
                </c:pt>
                <c:pt idx="482">
                  <c:v>39.333333333332803</c:v>
                </c:pt>
                <c:pt idx="483">
                  <c:v>38.999999999999474</c:v>
                </c:pt>
                <c:pt idx="484">
                  <c:v>38.666666666666146</c:v>
                </c:pt>
                <c:pt idx="485">
                  <c:v>38.333333333332817</c:v>
                </c:pt>
                <c:pt idx="486">
                  <c:v>37.999999999999488</c:v>
                </c:pt>
                <c:pt idx="487">
                  <c:v>37.66666666666616</c:v>
                </c:pt>
                <c:pt idx="488">
                  <c:v>37.333333333332831</c:v>
                </c:pt>
                <c:pt idx="489">
                  <c:v>36.999999999999503</c:v>
                </c:pt>
                <c:pt idx="490">
                  <c:v>36.666666666666174</c:v>
                </c:pt>
                <c:pt idx="491">
                  <c:v>36.333333333332845</c:v>
                </c:pt>
                <c:pt idx="492">
                  <c:v>35.999999999999517</c:v>
                </c:pt>
                <c:pt idx="493">
                  <c:v>35.666666666666188</c:v>
                </c:pt>
                <c:pt idx="494">
                  <c:v>35.33333333333286</c:v>
                </c:pt>
                <c:pt idx="495">
                  <c:v>34.999999999999531</c:v>
                </c:pt>
                <c:pt idx="496">
                  <c:v>34.666666666666202</c:v>
                </c:pt>
                <c:pt idx="497">
                  <c:v>34.333333333332874</c:v>
                </c:pt>
                <c:pt idx="498">
                  <c:v>33.999999999999545</c:v>
                </c:pt>
                <c:pt idx="499">
                  <c:v>33.666666666666217</c:v>
                </c:pt>
                <c:pt idx="500">
                  <c:v>33.333333333332888</c:v>
                </c:pt>
                <c:pt idx="501">
                  <c:v>32.999999999999559</c:v>
                </c:pt>
                <c:pt idx="502">
                  <c:v>32.666666666666231</c:v>
                </c:pt>
                <c:pt idx="503">
                  <c:v>32.333333333332902</c:v>
                </c:pt>
                <c:pt idx="504">
                  <c:v>31.999999999999574</c:v>
                </c:pt>
                <c:pt idx="505">
                  <c:v>31.666666666666245</c:v>
                </c:pt>
                <c:pt idx="506">
                  <c:v>31.333333333332916</c:v>
                </c:pt>
                <c:pt idx="507">
                  <c:v>30.999999999999588</c:v>
                </c:pt>
                <c:pt idx="508">
                  <c:v>30.666666666666259</c:v>
                </c:pt>
                <c:pt idx="509">
                  <c:v>30.333333333332931</c:v>
                </c:pt>
                <c:pt idx="510">
                  <c:v>29.999999999999602</c:v>
                </c:pt>
                <c:pt idx="511">
                  <c:v>29.666666666666273</c:v>
                </c:pt>
                <c:pt idx="512">
                  <c:v>29.333333333332945</c:v>
                </c:pt>
                <c:pt idx="513">
                  <c:v>28.999999999999616</c:v>
                </c:pt>
                <c:pt idx="514">
                  <c:v>28.666666666666288</c:v>
                </c:pt>
                <c:pt idx="515">
                  <c:v>28.333333333332959</c:v>
                </c:pt>
                <c:pt idx="516">
                  <c:v>27.999999999999631</c:v>
                </c:pt>
                <c:pt idx="517">
                  <c:v>27.666666666666302</c:v>
                </c:pt>
                <c:pt idx="518">
                  <c:v>27.333333333332973</c:v>
                </c:pt>
                <c:pt idx="519">
                  <c:v>26.999999999999645</c:v>
                </c:pt>
                <c:pt idx="520">
                  <c:v>26.666666666666316</c:v>
                </c:pt>
                <c:pt idx="521">
                  <c:v>26.333333333332988</c:v>
                </c:pt>
                <c:pt idx="522">
                  <c:v>25.999999999999659</c:v>
                </c:pt>
                <c:pt idx="523">
                  <c:v>25.66666666666633</c:v>
                </c:pt>
                <c:pt idx="524">
                  <c:v>25.333333333333002</c:v>
                </c:pt>
                <c:pt idx="525">
                  <c:v>24.999999999999673</c:v>
                </c:pt>
                <c:pt idx="526">
                  <c:v>24.666666666666345</c:v>
                </c:pt>
                <c:pt idx="527">
                  <c:v>24.333333333333016</c:v>
                </c:pt>
                <c:pt idx="528">
                  <c:v>23.999999999999687</c:v>
                </c:pt>
                <c:pt idx="529">
                  <c:v>23.666666666666359</c:v>
                </c:pt>
                <c:pt idx="530">
                  <c:v>23.33333333333303</c:v>
                </c:pt>
                <c:pt idx="531">
                  <c:v>22.999999999999702</c:v>
                </c:pt>
                <c:pt idx="532">
                  <c:v>22.666666666666373</c:v>
                </c:pt>
                <c:pt idx="533">
                  <c:v>22.333333333333044</c:v>
                </c:pt>
                <c:pt idx="534">
                  <c:v>21.999999999999716</c:v>
                </c:pt>
                <c:pt idx="535">
                  <c:v>21.666666666666387</c:v>
                </c:pt>
                <c:pt idx="536">
                  <c:v>21.333333333333059</c:v>
                </c:pt>
                <c:pt idx="537">
                  <c:v>20.99999999999973</c:v>
                </c:pt>
                <c:pt idx="538">
                  <c:v>20.666666666666401</c:v>
                </c:pt>
                <c:pt idx="539">
                  <c:v>20.333333333333073</c:v>
                </c:pt>
                <c:pt idx="540">
                  <c:v>19.999999999999744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24D-4401-B055-CA27861851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4038656"/>
        <c:axId val="244043456"/>
      </c:scatterChart>
      <c:valAx>
        <c:axId val="24403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043456"/>
        <c:crosses val="autoZero"/>
        <c:crossBetween val="midCat"/>
      </c:valAx>
      <c:valAx>
        <c:axId val="244043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40386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352425</xdr:colOff>
      <xdr:row>1</xdr:row>
      <xdr:rowOff>119062</xdr:rowOff>
    </xdr:from>
    <xdr:to>
      <xdr:col>19</xdr:col>
      <xdr:colOff>47625</xdr:colOff>
      <xdr:row>16</xdr:row>
      <xdr:rowOff>4762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E2B5136-BB39-38A2-221D-A9C57C9220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17</xdr:row>
      <xdr:rowOff>176212</xdr:rowOff>
    </xdr:from>
    <xdr:to>
      <xdr:col>19</xdr:col>
      <xdr:colOff>66675</xdr:colOff>
      <xdr:row>32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B962B34-7021-CB2E-3840-5F8839946F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478C7-C243-4BFB-BE09-7A8B0EA39FB0}">
  <dimension ref="A1:D20"/>
  <sheetViews>
    <sheetView workbookViewId="0">
      <selection activeCell="A22" sqref="A22"/>
    </sheetView>
  </sheetViews>
  <sheetFormatPr defaultRowHeight="14.25" x14ac:dyDescent="0.45"/>
  <cols>
    <col min="1" max="1" width="10.73046875" customWidth="1"/>
    <col min="2" max="2" width="10.59765625" customWidth="1"/>
  </cols>
  <sheetData>
    <row r="1" spans="1:4" x14ac:dyDescent="0.45">
      <c r="A1" s="8" t="s">
        <v>0</v>
      </c>
      <c r="B1" s="13" t="s">
        <v>1</v>
      </c>
      <c r="C1" s="14"/>
    </row>
    <row r="2" spans="1:4" x14ac:dyDescent="0.45">
      <c r="A2" s="8" t="s">
        <v>2</v>
      </c>
      <c r="B2" s="13" t="s">
        <v>3</v>
      </c>
      <c r="C2" s="14"/>
    </row>
    <row r="3" spans="1:4" x14ac:dyDescent="0.45">
      <c r="A3" s="8" t="s">
        <v>4</v>
      </c>
      <c r="B3" s="12" t="s">
        <v>5</v>
      </c>
      <c r="C3" s="12"/>
    </row>
    <row r="7" spans="1:4" x14ac:dyDescent="0.45">
      <c r="A7" s="1"/>
      <c r="B7" s="1" t="s">
        <v>4</v>
      </c>
      <c r="C7" s="1" t="s">
        <v>0</v>
      </c>
      <c r="D7" s="1" t="s">
        <v>2</v>
      </c>
    </row>
    <row r="8" spans="1:4" x14ac:dyDescent="0.45">
      <c r="A8" s="1" t="s">
        <v>6</v>
      </c>
      <c r="B8" s="1">
        <v>50</v>
      </c>
      <c r="C8" s="1">
        <v>20</v>
      </c>
      <c r="D8" s="1">
        <v>0</v>
      </c>
    </row>
    <row r="9" spans="1:4" x14ac:dyDescent="0.45">
      <c r="A9" s="1" t="s">
        <v>7</v>
      </c>
      <c r="B9" s="1">
        <v>80</v>
      </c>
      <c r="C9" s="1">
        <v>80</v>
      </c>
      <c r="D9" s="1">
        <v>0</v>
      </c>
    </row>
    <row r="10" spans="1:4" x14ac:dyDescent="0.45">
      <c r="A10" s="1" t="s">
        <v>8</v>
      </c>
      <c r="B10" s="1">
        <v>20</v>
      </c>
      <c r="C10" s="1">
        <v>80</v>
      </c>
      <c r="D10" s="1">
        <v>0</v>
      </c>
    </row>
    <row r="12" spans="1:4" x14ac:dyDescent="0.45">
      <c r="A12" s="1"/>
      <c r="B12" s="1" t="s">
        <v>9</v>
      </c>
      <c r="C12" s="1" t="s">
        <v>10</v>
      </c>
    </row>
    <row r="13" spans="1:4" x14ac:dyDescent="0.45">
      <c r="A13" s="1" t="s">
        <v>11</v>
      </c>
      <c r="B13" s="1">
        <f>(C9-C8)/(B9-B8)</f>
        <v>2</v>
      </c>
      <c r="C13" s="1">
        <f>C8-B13*B8</f>
        <v>-80</v>
      </c>
    </row>
    <row r="14" spans="1:4" x14ac:dyDescent="0.45">
      <c r="A14" s="1" t="s">
        <v>12</v>
      </c>
      <c r="B14" s="1">
        <f>(C10-C9)/(B10-B9)</f>
        <v>0</v>
      </c>
      <c r="C14" s="1">
        <f>C9-B14*B9</f>
        <v>80</v>
      </c>
    </row>
    <row r="15" spans="1:4" x14ac:dyDescent="0.45">
      <c r="A15" s="1" t="s">
        <v>13</v>
      </c>
      <c r="B15" s="1">
        <f>(C8-C10)/(B8-B10)</f>
        <v>-2</v>
      </c>
      <c r="C15" s="1">
        <f>C10-B15*B10</f>
        <v>120</v>
      </c>
    </row>
    <row r="17" spans="1:2" x14ac:dyDescent="0.45">
      <c r="A17" s="1"/>
      <c r="B17" s="1" t="s">
        <v>14</v>
      </c>
    </row>
    <row r="18" spans="1:2" x14ac:dyDescent="0.45">
      <c r="A18" s="1" t="s">
        <v>11</v>
      </c>
      <c r="B18" s="1" t="s">
        <v>15</v>
      </c>
    </row>
    <row r="19" spans="1:2" x14ac:dyDescent="0.45">
      <c r="A19" s="1" t="s">
        <v>12</v>
      </c>
      <c r="B19" s="1" t="s">
        <v>16</v>
      </c>
    </row>
    <row r="20" spans="1:2" x14ac:dyDescent="0.45">
      <c r="A20" s="1" t="s">
        <v>13</v>
      </c>
      <c r="B20" s="1" t="s">
        <v>17</v>
      </c>
    </row>
  </sheetData>
  <mergeCells count="3">
    <mergeCell ref="B3:C3"/>
    <mergeCell ref="B1:C1"/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B3634-50B1-4AF6-AE15-BB3365418D8A}">
  <dimension ref="A1:K544"/>
  <sheetViews>
    <sheetView tabSelected="1" topLeftCell="B1" zoomScaleNormal="100" workbookViewId="0">
      <selection activeCell="B182" sqref="B182"/>
    </sheetView>
  </sheetViews>
  <sheetFormatPr defaultRowHeight="14.25" x14ac:dyDescent="0.45"/>
  <cols>
    <col min="8" max="8" width="12.73046875" customWidth="1"/>
    <col min="9" max="9" width="10.86328125" customWidth="1"/>
    <col min="10" max="11" width="11.265625" customWidth="1"/>
  </cols>
  <sheetData>
    <row r="1" spans="1:11" x14ac:dyDescent="0.45">
      <c r="A1" s="4" t="s">
        <v>18</v>
      </c>
      <c r="B1" s="4" t="s">
        <v>4</v>
      </c>
      <c r="C1" s="4" t="s">
        <v>0</v>
      </c>
      <c r="D1" s="4" t="s">
        <v>2</v>
      </c>
      <c r="E1" s="4" t="s">
        <v>19</v>
      </c>
      <c r="F1" s="4" t="s">
        <v>34</v>
      </c>
      <c r="G1" s="4" t="s">
        <v>20</v>
      </c>
      <c r="H1" s="4" t="s">
        <v>21</v>
      </c>
      <c r="I1" s="4" t="s">
        <v>22</v>
      </c>
      <c r="J1" s="4" t="s">
        <v>23</v>
      </c>
      <c r="K1" s="4" t="s">
        <v>24</v>
      </c>
    </row>
    <row r="2" spans="1:11" x14ac:dyDescent="0.45">
      <c r="A2" s="3">
        <v>0</v>
      </c>
      <c r="B2" s="3">
        <v>50</v>
      </c>
      <c r="C2" s="3">
        <v>20</v>
      </c>
      <c r="D2" s="3">
        <v>0</v>
      </c>
      <c r="E2" s="6">
        <v>0</v>
      </c>
      <c r="F2" s="6">
        <v>0</v>
      </c>
      <c r="G2" s="3">
        <v>0</v>
      </c>
      <c r="H2" s="3">
        <f>(SystemConstants!$B$6*F2)+(0.5*SystemConstants!$B$7*SystemConstants!$B$5*Data!E2^2)+(0.5*SystemConstants!$B$7*SystemConstants!$B$2*SystemConstants!$B$3*Data!E2^2)</f>
        <v>0</v>
      </c>
      <c r="I2" s="11"/>
      <c r="J2" s="11"/>
      <c r="K2" s="11"/>
    </row>
    <row r="3" spans="1:11" x14ac:dyDescent="0.45">
      <c r="A3" s="2">
        <f t="shared" ref="A3:A66" si="0">A2+1</f>
        <v>1</v>
      </c>
      <c r="B3" s="2">
        <f>B2+(30/180)</f>
        <v>50.166666666666664</v>
      </c>
      <c r="C3" s="2">
        <f>2*Data!B3-80</f>
        <v>20.333333333333329</v>
      </c>
      <c r="D3" s="2">
        <v>0</v>
      </c>
      <c r="E3" s="7">
        <f>ABS((SQRT(B3^2+C3^2+D3^2)-SQRT(B2^2+C2^2+D2^2))/(A3-A2))</f>
        <v>0.27910925652622609</v>
      </c>
      <c r="F3" s="7">
        <f t="shared" ref="F3:F8" si="1">(E3-E2)/(A3-A2)</f>
        <v>0.27910925652622609</v>
      </c>
      <c r="G3" s="2">
        <f>DEGREES(ACOS( (B2*B3+C2*C3+D2*D3) / SQRT((B2^2+C2^2+D2^2)*(B3^2+C3^2+D3^2))))</f>
        <v>0.2620714920090032</v>
      </c>
      <c r="H3" s="2">
        <f>(SystemConstants!$B$6*F3)+(0.5*SystemConstants!$B$7*SystemConstants!$B$5*Data!E3^2)+(0.5*SystemConstants!$B$7*SystemConstants!$B$2*SystemConstants!$B$3*Data!E3^2)</f>
        <v>44.83631357630064</v>
      </c>
      <c r="I3" s="1"/>
      <c r="J3" s="1"/>
      <c r="K3" s="1"/>
    </row>
    <row r="4" spans="1:11" x14ac:dyDescent="0.45">
      <c r="A4" s="2">
        <f t="shared" si="0"/>
        <v>2</v>
      </c>
      <c r="B4" s="2">
        <f t="shared" ref="B4:B67" si="2">B3+(30/180)</f>
        <v>50.333333333333329</v>
      </c>
      <c r="C4" s="2">
        <f>2*Data!B4-80</f>
        <v>20.666666666666657</v>
      </c>
      <c r="D4" s="2">
        <v>0</v>
      </c>
      <c r="E4" s="7">
        <f t="shared" ref="E4:E67" si="3">ABS((SQRT(B4^2+C4^2+D4^2)-SQRT(B3^2+C3^2+D3^2))/(A4-A3))</f>
        <v>0.28023012462360697</v>
      </c>
      <c r="F4" s="7">
        <f t="shared" si="1"/>
        <v>1.1208680973808782E-3</v>
      </c>
      <c r="G4" s="2">
        <f>DEGREES(ACOS( (B3*B4+C3*C4+D3*D4) / SQRT((B3^2+C3^2+D3^2)*(B4^2+C4^2+D4^2))))</f>
        <v>0.25937740539688514</v>
      </c>
      <c r="H4" s="2">
        <f>(SystemConstants!$B$6*F4)+(0.5*SystemConstants!$B$7*SystemConstants!$B$5*Data!E4^2)+(0.5*SystemConstants!$B$7*SystemConstants!$B$2*SystemConstants!$B$3*Data!E4^2)</f>
        <v>44.916916166834888</v>
      </c>
      <c r="I4" s="1"/>
      <c r="J4" s="1"/>
      <c r="K4" s="1"/>
    </row>
    <row r="5" spans="1:11" x14ac:dyDescent="0.45">
      <c r="A5" s="2">
        <f t="shared" si="0"/>
        <v>3</v>
      </c>
      <c r="B5" s="2">
        <f t="shared" si="2"/>
        <v>50.499999999999993</v>
      </c>
      <c r="C5" s="2">
        <f>2*Data!B5-80</f>
        <v>20.999999999999986</v>
      </c>
      <c r="D5" s="2">
        <v>0</v>
      </c>
      <c r="E5" s="7">
        <f t="shared" si="3"/>
        <v>0.28133376355883399</v>
      </c>
      <c r="F5" s="7">
        <f t="shared" si="1"/>
        <v>1.1036389352270248E-3</v>
      </c>
      <c r="G5" s="2">
        <f t="shared" ref="G5:G68" si="4">DEGREES(ACOS( (B4*B5+C4*C5+D4*D5) / SQRT((B4^2+C4^2+D4^2)*(B5^2+C5^2+D5^2))))</f>
        <v>0.25671418027137705</v>
      </c>
      <c r="H5" s="2">
        <f>(SystemConstants!$B$6*F5)+(0.5*SystemConstants!$B$7*SystemConstants!$B$5*Data!E5^2)+(0.5*SystemConstants!$B$7*SystemConstants!$B$2*SystemConstants!$B$3*Data!E5^2)</f>
        <v>45.271382123304861</v>
      </c>
      <c r="I5" s="1"/>
      <c r="J5" s="1"/>
      <c r="K5" s="1"/>
    </row>
    <row r="6" spans="1:11" x14ac:dyDescent="0.45">
      <c r="A6" s="2">
        <f t="shared" si="0"/>
        <v>4</v>
      </c>
      <c r="B6" s="2">
        <f t="shared" si="2"/>
        <v>50.666666666666657</v>
      </c>
      <c r="C6" s="2">
        <f>2*Data!B6-80</f>
        <v>21.333333333333314</v>
      </c>
      <c r="D6" s="2">
        <v>0</v>
      </c>
      <c r="E6" s="7">
        <f t="shared" si="3"/>
        <v>0.28242045884842071</v>
      </c>
      <c r="F6" s="7">
        <f t="shared" si="1"/>
        <v>1.0866952895867144E-3</v>
      </c>
      <c r="G6" s="2">
        <f t="shared" si="4"/>
        <v>0.254081613890209</v>
      </c>
      <c r="H6" s="2">
        <f>(SystemConstants!$B$6*F6)+(0.5*SystemConstants!$B$7*SystemConstants!$B$5*Data!E6^2)+(0.5*SystemConstants!$B$7*SystemConstants!$B$2*SystemConstants!$B$3*Data!E6^2)</f>
        <v>45.621767558803654</v>
      </c>
      <c r="I6" s="1"/>
      <c r="J6" s="1"/>
      <c r="K6" s="1"/>
    </row>
    <row r="7" spans="1:11" x14ac:dyDescent="0.45">
      <c r="A7" s="2">
        <f t="shared" si="0"/>
        <v>5</v>
      </c>
      <c r="B7" s="2">
        <f t="shared" si="2"/>
        <v>50.833333333333321</v>
      </c>
      <c r="C7" s="2">
        <f>2*Data!B7-80</f>
        <v>21.666666666666643</v>
      </c>
      <c r="D7" s="2">
        <v>0</v>
      </c>
      <c r="E7" s="7">
        <f t="shared" si="3"/>
        <v>0.28349049209919741</v>
      </c>
      <c r="F7" s="7">
        <f t="shared" si="1"/>
        <v>1.070033250776703E-3</v>
      </c>
      <c r="G7" s="2">
        <f t="shared" si="4"/>
        <v>0.25147949489291466</v>
      </c>
      <c r="H7" s="2">
        <f>(SystemConstants!$B$6*F7)+(0.5*SystemConstants!$B$7*SystemConstants!$B$5*Data!E7^2)+(0.5*SystemConstants!$B$7*SystemConstants!$B$2*SystemConstants!$B$3*Data!E7^2)</f>
        <v>45.968100604470905</v>
      </c>
      <c r="I7" s="1"/>
      <c r="J7" s="1"/>
      <c r="K7" s="1"/>
    </row>
    <row r="8" spans="1:11" x14ac:dyDescent="0.45">
      <c r="A8" s="2">
        <f t="shared" si="0"/>
        <v>6</v>
      </c>
      <c r="B8" s="2">
        <f t="shared" si="2"/>
        <v>50.999999999999986</v>
      </c>
      <c r="C8" s="2">
        <f>2*Data!B8-80</f>
        <v>21.999999999999972</v>
      </c>
      <c r="D8" s="2">
        <v>0</v>
      </c>
      <c r="E8" s="7">
        <f t="shared" si="3"/>
        <v>0.28454414099391556</v>
      </c>
      <c r="F8" s="7">
        <f t="shared" si="1"/>
        <v>1.053648894718151E-3</v>
      </c>
      <c r="G8" s="2">
        <f t="shared" si="4"/>
        <v>0.24890760389953898</v>
      </c>
      <c r="H8" s="2">
        <f>(SystemConstants!$B$6*F8)+(0.5*SystemConstants!$B$7*SystemConstants!$B$5*Data!E8^2)+(0.5*SystemConstants!$B$7*SystemConstants!$B$2*SystemConstants!$B$3*Data!E8^2)</f>
        <v>46.310410456516777</v>
      </c>
      <c r="I8" s="1"/>
      <c r="J8" s="1"/>
      <c r="K8" s="1"/>
    </row>
    <row r="9" spans="1:11" x14ac:dyDescent="0.45">
      <c r="A9" s="2">
        <f t="shared" si="0"/>
        <v>7</v>
      </c>
      <c r="B9" s="2">
        <f t="shared" si="2"/>
        <v>51.16666666666665</v>
      </c>
      <c r="C9" s="2">
        <f>2*Data!B9-80</f>
        <v>22.3333333333333</v>
      </c>
      <c r="D9" s="2">
        <v>0</v>
      </c>
      <c r="E9" s="7">
        <f t="shared" si="3"/>
        <v>0.28558167928173361</v>
      </c>
      <c r="F9" s="7">
        <f t="shared" ref="F9:F72" si="5">(E9-E8)/(A9-A8)</f>
        <v>1.0375382878180517E-3</v>
      </c>
      <c r="G9" s="2">
        <f t="shared" si="4"/>
        <v>0.24636571415018416</v>
      </c>
      <c r="H9" s="2">
        <f>(SystemConstants!$B$6*F9)+(0.5*SystemConstants!$B$7*SystemConstants!$B$5*Data!E9^2)+(0.5*SystemConstants!$B$7*SystemConstants!$B$2*SystemConstants!$B$3*Data!E9^2)</f>
        <v>46.648727296610346</v>
      </c>
      <c r="I9" s="1"/>
      <c r="J9" s="1"/>
      <c r="K9" s="1"/>
    </row>
    <row r="10" spans="1:11" x14ac:dyDescent="0.45">
      <c r="A10" s="2">
        <f t="shared" si="0"/>
        <v>8</v>
      </c>
      <c r="B10" s="2">
        <f t="shared" si="2"/>
        <v>51.333333333333314</v>
      </c>
      <c r="C10" s="2">
        <f>2*Data!B10-80</f>
        <v>22.666666666666629</v>
      </c>
      <c r="D10" s="2">
        <v>0</v>
      </c>
      <c r="E10" s="7">
        <f t="shared" si="3"/>
        <v>0.28660337677357006</v>
      </c>
      <c r="F10" s="7">
        <f t="shared" si="5"/>
        <v>1.0216974918364485E-3</v>
      </c>
      <c r="G10" s="2">
        <f t="shared" si="4"/>
        <v>0.2438535920339612</v>
      </c>
      <c r="H10" s="2">
        <f>(SystemConstants!$B$6*F10)+(0.5*SystemConstants!$B$7*SystemConstants!$B$5*Data!E10^2)+(0.5*SystemConstants!$B$7*SystemConstants!$B$2*SystemConstants!$B$3*Data!E10^2)</f>
        <v>46.983082215770025</v>
      </c>
      <c r="I10" s="1"/>
      <c r="J10" s="1"/>
      <c r="K10" s="1"/>
    </row>
    <row r="11" spans="1:11" x14ac:dyDescent="0.45">
      <c r="A11" s="2">
        <f t="shared" si="0"/>
        <v>9</v>
      </c>
      <c r="B11" s="2">
        <f t="shared" si="2"/>
        <v>51.499999999999979</v>
      </c>
      <c r="C11" s="2">
        <f>2*Data!B11-80</f>
        <v>22.999999999999957</v>
      </c>
      <c r="D11" s="2">
        <v>0</v>
      </c>
      <c r="E11" s="7">
        <f t="shared" si="3"/>
        <v>0.28760949934181212</v>
      </c>
      <c r="F11" s="7">
        <f t="shared" si="5"/>
        <v>1.0061225682420627E-3</v>
      </c>
      <c r="G11" s="2">
        <f t="shared" si="4"/>
        <v>0.24137099766075198</v>
      </c>
      <c r="H11" s="2">
        <f>(SystemConstants!$B$6*F11)+(0.5*SystemConstants!$B$7*SystemConstants!$B$5*Data!E11^2)+(0.5*SystemConstants!$B$7*SystemConstants!$B$2*SystemConstants!$B$3*Data!E11^2)</f>
        <v>47.313507141586889</v>
      </c>
      <c r="I11" s="1"/>
      <c r="J11" s="1"/>
      <c r="K11" s="1"/>
    </row>
    <row r="12" spans="1:11" x14ac:dyDescent="0.45">
      <c r="A12" s="2">
        <f t="shared" si="0"/>
        <v>10</v>
      </c>
      <c r="B12" s="2">
        <f t="shared" si="2"/>
        <v>51.666666666666643</v>
      </c>
      <c r="C12" s="2">
        <f>2*Data!B12-80</f>
        <v>23.333333333333286</v>
      </c>
      <c r="D12" s="2">
        <v>0</v>
      </c>
      <c r="E12" s="7">
        <f t="shared" si="3"/>
        <v>0.28860030892409583</v>
      </c>
      <c r="F12" s="7">
        <f t="shared" si="5"/>
        <v>9.9080958228370264E-4</v>
      </c>
      <c r="G12" s="2">
        <f t="shared" si="4"/>
        <v>0.23891768537939792</v>
      </c>
      <c r="H12" s="2">
        <f>(SystemConstants!$B$6*F12)+(0.5*SystemConstants!$B$7*SystemConstants!$B$5*Data!E12^2)+(0.5*SystemConstants!$B$7*SystemConstants!$B$2*SystemConstants!$B$3*Data!E12^2)</f>
        <v>47.640034768681183</v>
      </c>
      <c r="I12" s="1"/>
      <c r="J12" s="1"/>
      <c r="K12" s="1"/>
    </row>
    <row r="13" spans="1:11" x14ac:dyDescent="0.45">
      <c r="A13" s="2">
        <f t="shared" si="0"/>
        <v>11</v>
      </c>
      <c r="B13" s="2">
        <f t="shared" si="2"/>
        <v>51.833333333333307</v>
      </c>
      <c r="C13" s="2">
        <f>2*Data!B13-80</f>
        <v>23.666666666666615</v>
      </c>
      <c r="D13" s="2">
        <v>0</v>
      </c>
      <c r="E13" s="7">
        <f t="shared" si="3"/>
        <v>0.28957606353111487</v>
      </c>
      <c r="F13" s="7">
        <f t="shared" si="5"/>
        <v>9.7575460701904149E-4</v>
      </c>
      <c r="G13" s="2">
        <f t="shared" si="4"/>
        <v>0.23649340426922283</v>
      </c>
      <c r="H13" s="2">
        <f>(SystemConstants!$B$6*F13)+(0.5*SystemConstants!$B$7*SystemConstants!$B$5*Data!E13^2)+(0.5*SystemConstants!$B$7*SystemConstants!$B$2*SystemConstants!$B$3*Data!E13^2)</f>
        <v>47.962698492367892</v>
      </c>
      <c r="I13" s="1"/>
      <c r="J13" s="1"/>
      <c r="K13" s="1"/>
    </row>
    <row r="14" spans="1:11" x14ac:dyDescent="0.45">
      <c r="A14" s="2">
        <f t="shared" si="0"/>
        <v>12</v>
      </c>
      <c r="B14" s="2">
        <f t="shared" si="2"/>
        <v>51.999999999999972</v>
      </c>
      <c r="C14" s="2">
        <f>2*Data!B14-80</f>
        <v>23.999999999999943</v>
      </c>
      <c r="D14" s="2">
        <v>0</v>
      </c>
      <c r="E14" s="7">
        <f t="shared" si="3"/>
        <v>0.29053701725779746</v>
      </c>
      <c r="F14" s="7">
        <f t="shared" si="5"/>
        <v>9.609537266825896E-4</v>
      </c>
      <c r="G14" s="2">
        <f t="shared" si="4"/>
        <v>0.23409789862633984</v>
      </c>
      <c r="H14" s="2">
        <f>(SystemConstants!$B$6*F14)+(0.5*SystemConstants!$B$7*SystemConstants!$B$5*Data!E14^2)+(0.5*SystemConstants!$B$7*SystemConstants!$B$2*SystemConstants!$B$3*Data!E14^2)</f>
        <v>48.281532345299787</v>
      </c>
      <c r="I14" s="1"/>
      <c r="J14" s="1"/>
      <c r="K14" s="1"/>
    </row>
    <row r="15" spans="1:11" x14ac:dyDescent="0.45">
      <c r="A15" s="2">
        <f t="shared" si="0"/>
        <v>13</v>
      </c>
      <c r="B15" s="2">
        <f t="shared" si="2"/>
        <v>52.166666666666636</v>
      </c>
      <c r="C15" s="2">
        <f>2*Data!B15-80</f>
        <v>24.333333333333272</v>
      </c>
      <c r="D15" s="2">
        <v>0</v>
      </c>
      <c r="E15" s="7">
        <f t="shared" si="3"/>
        <v>0.29148342029803587</v>
      </c>
      <c r="F15" s="7">
        <f t="shared" si="5"/>
        <v>9.4640304023840827E-4</v>
      </c>
      <c r="G15" s="2">
        <f t="shared" si="4"/>
        <v>0.23173090840349658</v>
      </c>
      <c r="H15" s="2">
        <f>(SystemConstants!$B$6*F15)+(0.5*SystemConstants!$B$7*SystemConstants!$B$5*Data!E15^2)+(0.5*SystemConstants!$B$7*SystemConstants!$B$2*SystemConstants!$B$3*Data!E15^2)</f>
        <v>48.596570937132327</v>
      </c>
      <c r="I15" s="1"/>
      <c r="J15" s="1"/>
      <c r="K15" s="1"/>
    </row>
    <row r="16" spans="1:11" x14ac:dyDescent="0.45">
      <c r="A16" s="2">
        <f t="shared" si="0"/>
        <v>14</v>
      </c>
      <c r="B16" s="2">
        <f t="shared" si="2"/>
        <v>52.3333333333333</v>
      </c>
      <c r="C16" s="2">
        <f>2*Data!B16-80</f>
        <v>24.6666666666666</v>
      </c>
      <c r="D16" s="2">
        <v>0</v>
      </c>
      <c r="E16" s="7">
        <f t="shared" si="3"/>
        <v>0.29241551896247842</v>
      </c>
      <c r="F16" s="7">
        <f t="shared" si="5"/>
        <v>9.3209866444254885E-4</v>
      </c>
      <c r="G16" s="2">
        <f t="shared" si="4"/>
        <v>0.22939216966710821</v>
      </c>
      <c r="H16" s="2">
        <f>(SystemConstants!$B$6*F16)+(0.5*SystemConstants!$B$7*SystemConstants!$B$5*Data!E16^2)+(0.5*SystemConstants!$B$7*SystemConstants!$B$2*SystemConstants!$B$3*Data!E16^2)</f>
        <v>48.907849397028556</v>
      </c>
      <c r="I16" s="1"/>
      <c r="J16" s="1"/>
      <c r="K16" s="1"/>
    </row>
    <row r="17" spans="1:11" x14ac:dyDescent="0.45">
      <c r="A17" s="2">
        <f t="shared" si="0"/>
        <v>15</v>
      </c>
      <c r="B17" s="2">
        <f t="shared" si="2"/>
        <v>52.499999999999964</v>
      </c>
      <c r="C17" s="2">
        <f>2*Data!B17-80</f>
        <v>24.999999999999929</v>
      </c>
      <c r="D17" s="2">
        <v>0</v>
      </c>
      <c r="E17" s="7">
        <f t="shared" si="3"/>
        <v>0.29333355569909259</v>
      </c>
      <c r="F17" s="7">
        <f t="shared" si="5"/>
        <v>9.1803673661416951E-4</v>
      </c>
      <c r="G17" s="2">
        <f t="shared" si="4"/>
        <v>0.22708141496687598</v>
      </c>
      <c r="H17" s="2">
        <f>(SystemConstants!$B$6*F17)+(0.5*SystemConstants!$B$7*SystemConstants!$B$5*Data!E17^2)+(0.5*SystemConstants!$B$7*SystemConstants!$B$2*SystemConstants!$B$3*Data!E17^2)</f>
        <v>49.215403318884704</v>
      </c>
      <c r="I17" s="1"/>
      <c r="J17" s="1"/>
      <c r="K17" s="1"/>
    </row>
    <row r="18" spans="1:11" x14ac:dyDescent="0.45">
      <c r="A18" s="2">
        <f t="shared" si="0"/>
        <v>16</v>
      </c>
      <c r="B18" s="2">
        <f>B17+(30/180)</f>
        <v>52.666666666666629</v>
      </c>
      <c r="C18" s="2">
        <f>2*Data!B18-80</f>
        <v>25.333333333333258</v>
      </c>
      <c r="D18" s="2">
        <v>0</v>
      </c>
      <c r="E18" s="7">
        <f t="shared" si="3"/>
        <v>0.29423776911660582</v>
      </c>
      <c r="F18" s="7">
        <f t="shared" si="5"/>
        <v>9.0421341751323325E-4</v>
      </c>
      <c r="G18" s="2">
        <f t="shared" si="4"/>
        <v>0.22479837377430947</v>
      </c>
      <c r="H18" s="2">
        <f>(SystemConstants!$B$6*F18)+(0.5*SystemConstants!$B$7*SystemConstants!$B$5*Data!E18^2)+(0.5*SystemConstants!$B$7*SystemConstants!$B$2*SystemConstants!$B$3*Data!E18^2)</f>
        <v>49.519268709288539</v>
      </c>
      <c r="I18" s="1"/>
      <c r="J18" s="1"/>
      <c r="K18" s="1"/>
    </row>
    <row r="19" spans="1:11" x14ac:dyDescent="0.45">
      <c r="A19" s="2">
        <f t="shared" si="0"/>
        <v>17</v>
      </c>
      <c r="B19" s="2">
        <f t="shared" si="2"/>
        <v>52.833333333333293</v>
      </c>
      <c r="C19" s="2">
        <f>2*Data!B19-80</f>
        <v>25.666666666666586</v>
      </c>
      <c r="D19" s="2">
        <v>0</v>
      </c>
      <c r="E19" s="7">
        <f t="shared" si="3"/>
        <v>0.29512839401024848</v>
      </c>
      <c r="F19" s="7">
        <f t="shared" si="5"/>
        <v>8.9062489364266639E-4</v>
      </c>
      <c r="G19" s="2">
        <f t="shared" si="4"/>
        <v>0.22254277282195178</v>
      </c>
      <c r="H19" s="2">
        <f>(SystemConstants!$B$6*F19)+(0.5*SystemConstants!$B$7*SystemConstants!$B$5*Data!E19^2)+(0.5*SystemConstants!$B$7*SystemConstants!$B$2*SystemConstants!$B$3*Data!E19^2)</f>
        <v>49.819481937991519</v>
      </c>
      <c r="I19" s="1"/>
      <c r="J19" s="1"/>
      <c r="K19" s="1"/>
    </row>
    <row r="20" spans="1:11" x14ac:dyDescent="0.45">
      <c r="A20" s="2">
        <f t="shared" si="0"/>
        <v>18</v>
      </c>
      <c r="B20" s="2">
        <f t="shared" si="2"/>
        <v>52.999999999999957</v>
      </c>
      <c r="C20" s="2">
        <f>2*Data!B20-80</f>
        <v>25.999999999999915</v>
      </c>
      <c r="D20" s="2">
        <v>0</v>
      </c>
      <c r="E20" s="7">
        <f t="shared" si="3"/>
        <v>0.29600566138986295</v>
      </c>
      <c r="F20" s="7">
        <f t="shared" si="5"/>
        <v>8.7726737961446588E-4</v>
      </c>
      <c r="G20" s="2">
        <f t="shared" si="4"/>
        <v>0.22031433646719684</v>
      </c>
      <c r="H20" s="2">
        <f>(SystemConstants!$B$6*F20)+(0.5*SystemConstants!$B$7*SystemConstants!$B$5*Data!E20^2)+(0.5*SystemConstants!$B$7*SystemConstants!$B$2*SystemConstants!$B$3*Data!E20^2)</f>
        <v>50.11607969088881</v>
      </c>
      <c r="I20" s="1"/>
      <c r="J20" s="1"/>
      <c r="K20" s="1"/>
    </row>
    <row r="21" spans="1:11" x14ac:dyDescent="0.45">
      <c r="A21" s="2">
        <f t="shared" si="0"/>
        <v>19</v>
      </c>
      <c r="B21" s="2">
        <f t="shared" si="2"/>
        <v>53.166666666666622</v>
      </c>
      <c r="C21" s="2">
        <f>2*Data!B21-80</f>
        <v>26.333333333333243</v>
      </c>
      <c r="D21" s="2">
        <v>0</v>
      </c>
      <c r="E21" s="7">
        <f t="shared" si="3"/>
        <v>0.29686979851010875</v>
      </c>
      <c r="F21" s="7">
        <f t="shared" si="5"/>
        <v>8.6413712024580036E-4</v>
      </c>
      <c r="G21" s="2">
        <f t="shared" si="4"/>
        <v>0.21811278703319398</v>
      </c>
      <c r="H21" s="2">
        <f>(SystemConstants!$B$6*F21)+(0.5*SystemConstants!$B$7*SystemConstants!$B$5*Data!E21^2)+(0.5*SystemConstants!$B$7*SystemConstants!$B$2*SystemConstants!$B$3*Data!E21^2)</f>
        <v>50.409098925387312</v>
      </c>
      <c r="I21" s="1"/>
      <c r="J21" s="1"/>
      <c r="K21" s="1"/>
    </row>
    <row r="22" spans="1:11" x14ac:dyDescent="0.45">
      <c r="A22" s="2">
        <f t="shared" si="0"/>
        <v>20</v>
      </c>
      <c r="B22" s="2">
        <f t="shared" si="2"/>
        <v>53.333333333333286</v>
      </c>
      <c r="C22" s="2">
        <f>2*Data!B22-80</f>
        <v>26.666666666666572</v>
      </c>
      <c r="D22" s="2">
        <v>0</v>
      </c>
      <c r="E22" s="7">
        <f t="shared" si="3"/>
        <v>0.29772102890251517</v>
      </c>
      <c r="F22" s="7">
        <f t="shared" si="5"/>
        <v>8.5123039240642129E-4</v>
      </c>
      <c r="G22" s="2">
        <f t="shared" si="4"/>
        <v>0.21593784511037717</v>
      </c>
      <c r="H22" s="2">
        <f>(SystemConstants!$B$6*F22)+(0.5*SystemConstants!$B$7*SystemConstants!$B$5*Data!E22^2)+(0.5*SystemConstants!$B$7*SystemConstants!$B$2*SystemConstants!$B$3*Data!E22^2)</f>
        <v>50.698576828047372</v>
      </c>
      <c r="I22" s="1"/>
      <c r="J22" s="1"/>
      <c r="K22" s="1"/>
    </row>
    <row r="23" spans="1:11" x14ac:dyDescent="0.45">
      <c r="A23" s="2">
        <f t="shared" si="0"/>
        <v>21</v>
      </c>
      <c r="B23" s="2">
        <f t="shared" si="2"/>
        <v>53.49999999999995</v>
      </c>
      <c r="C23" s="2">
        <f>2*Data!B23-80</f>
        <v>26.999999999999901</v>
      </c>
      <c r="D23" s="2">
        <v>0</v>
      </c>
      <c r="E23" s="7">
        <f t="shared" si="3"/>
        <v>0.29855957240936704</v>
      </c>
      <c r="F23" s="7">
        <f t="shared" si="5"/>
        <v>8.3854350685186319E-4</v>
      </c>
      <c r="G23" s="2">
        <f t="shared" si="4"/>
        <v>0.21378922987823548</v>
      </c>
      <c r="H23" s="2">
        <f>(SystemConstants!$B$6*F23)+(0.5*SystemConstants!$B$7*SystemConstants!$B$5*Data!E23^2)+(0.5*SystemConstants!$B$7*SystemConstants!$B$2*SystemConstants!$B$3*Data!E23^2)</f>
        <v>50.9845507744622</v>
      </c>
      <c r="I23" s="1"/>
      <c r="J23" s="1"/>
      <c r="K23" s="1"/>
    </row>
    <row r="24" spans="1:11" x14ac:dyDescent="0.45">
      <c r="A24" s="2">
        <f t="shared" si="0"/>
        <v>22</v>
      </c>
      <c r="B24" s="2">
        <f t="shared" si="2"/>
        <v>53.666666666666615</v>
      </c>
      <c r="C24" s="2">
        <f>2*Data!B24-80</f>
        <v>27.333333333333229</v>
      </c>
      <c r="D24" s="2">
        <v>0</v>
      </c>
      <c r="E24" s="7">
        <f t="shared" si="3"/>
        <v>0.29938564521919631</v>
      </c>
      <c r="F24" s="7">
        <f t="shared" si="5"/>
        <v>8.2607280982927023E-4</v>
      </c>
      <c r="G24" s="2">
        <f t="shared" si="4"/>
        <v>0.21166665938043103</v>
      </c>
      <c r="H24" s="2">
        <f>(SystemConstants!$B$6*F24)+(0.5*SystemConstants!$B$7*SystemConstants!$B$5*Data!E24^2)+(0.5*SystemConstants!$B$7*SystemConstants!$B$2*SystemConstants!$B$3*Data!E24^2)</f>
        <v>51.267058291265997</v>
      </c>
      <c r="I24" s="1"/>
      <c r="J24" s="1"/>
      <c r="K24" s="1"/>
    </row>
    <row r="25" spans="1:11" x14ac:dyDescent="0.45">
      <c r="A25" s="2">
        <f t="shared" si="0"/>
        <v>23</v>
      </c>
      <c r="B25" s="2">
        <f t="shared" si="2"/>
        <v>53.833333333333279</v>
      </c>
      <c r="C25" s="2">
        <f>2*Data!B25-80</f>
        <v>27.666666666666558</v>
      </c>
      <c r="D25" s="2">
        <v>0</v>
      </c>
      <c r="E25" s="7">
        <f t="shared" si="3"/>
        <v>0.30019945990362373</v>
      </c>
      <c r="F25" s="7">
        <f t="shared" si="5"/>
        <v>8.1381468442742744E-4</v>
      </c>
      <c r="G25" s="2">
        <f t="shared" si="4"/>
        <v>0.20956985079456089</v>
      </c>
      <c r="H25" s="2">
        <f>(SystemConstants!$B$6*F25)+(0.5*SystemConstants!$B$7*SystemConstants!$B$5*Data!E25^2)+(0.5*SystemConstants!$B$7*SystemConstants!$B$2*SystemConstants!$B$3*Data!E25^2)</f>
        <v>51.546137020150468</v>
      </c>
      <c r="I25" s="1"/>
      <c r="J25" s="1"/>
      <c r="K25" s="1"/>
    </row>
    <row r="26" spans="1:11" x14ac:dyDescent="0.45">
      <c r="A26" s="2">
        <f t="shared" si="0"/>
        <v>24</v>
      </c>
      <c r="B26" s="2">
        <f t="shared" si="2"/>
        <v>53.999999999999943</v>
      </c>
      <c r="C26" s="2">
        <f>2*Data!B26-80</f>
        <v>27.999999999999886</v>
      </c>
      <c r="D26" s="2">
        <v>0</v>
      </c>
      <c r="E26" s="7">
        <f t="shared" si="3"/>
        <v>0.30100122545559316</v>
      </c>
      <c r="F26" s="7">
        <f t="shared" si="5"/>
        <v>8.0176555196942445E-4</v>
      </c>
      <c r="G26" s="2">
        <f t="shared" si="4"/>
        <v>0.20749852068641059</v>
      </c>
      <c r="H26" s="2">
        <f>(SystemConstants!$B$6*F26)+(0.5*SystemConstants!$B$7*SystemConstants!$B$5*Data!E26^2)+(0.5*SystemConstants!$B$7*SystemConstants!$B$2*SystemConstants!$B$3*Data!E26^2)</f>
        <v>51.821824683871334</v>
      </c>
      <c r="I26" s="1"/>
      <c r="J26" s="1"/>
      <c r="K26" s="1"/>
    </row>
    <row r="27" spans="1:11" x14ac:dyDescent="0.45">
      <c r="A27" s="2">
        <f t="shared" si="0"/>
        <v>25</v>
      </c>
      <c r="B27" s="2">
        <f t="shared" si="2"/>
        <v>54.166666666666607</v>
      </c>
      <c r="C27" s="2">
        <f>2*Data!B27-80</f>
        <v>28.333333333333215</v>
      </c>
      <c r="D27" s="2">
        <v>0</v>
      </c>
      <c r="E27" s="7">
        <f t="shared" si="3"/>
        <v>0.30179114732882084</v>
      </c>
      <c r="F27" s="7">
        <f t="shared" si="5"/>
        <v>7.8992187322768359E-4</v>
      </c>
      <c r="G27" s="2">
        <f t="shared" si="4"/>
        <v>0.20545238526656134</v>
      </c>
      <c r="H27" s="2">
        <f>(SystemConstants!$B$6*F27)+(0.5*SystemConstants!$B$7*SystemConstants!$B$5*Data!E27^2)+(0.5*SystemConstants!$B$7*SystemConstants!$B$2*SystemConstants!$B$3*Data!E27^2)</f>
        <v>52.09415905415036</v>
      </c>
      <c r="I27" s="1"/>
      <c r="J27" s="1"/>
      <c r="K27" s="1"/>
    </row>
    <row r="28" spans="1:11" x14ac:dyDescent="0.45">
      <c r="A28" s="2">
        <f t="shared" si="0"/>
        <v>26</v>
      </c>
      <c r="B28" s="2">
        <f t="shared" si="2"/>
        <v>54.333333333333272</v>
      </c>
      <c r="C28" s="2">
        <f>2*Data!B28-80</f>
        <v>28.666666666666544</v>
      </c>
      <c r="D28" s="2">
        <v>0</v>
      </c>
      <c r="E28" s="7">
        <f t="shared" si="3"/>
        <v>0.3025694274781543</v>
      </c>
      <c r="F28" s="7">
        <f t="shared" si="5"/>
        <v>7.7828014933345457E-4</v>
      </c>
      <c r="G28" s="2">
        <f t="shared" si="4"/>
        <v>0.20343116058596872</v>
      </c>
      <c r="H28" s="2">
        <f>(SystemConstants!$B$6*F28)+(0.5*SystemConstants!$B$7*SystemConstants!$B$5*Data!E28^2)+(0.5*SystemConstants!$B$7*SystemConstants!$B$2*SystemConstants!$B$3*Data!E28^2)</f>
        <v>52.363177921333801</v>
      </c>
      <c r="I28" s="1"/>
      <c r="J28" s="1"/>
      <c r="K28" s="1"/>
    </row>
    <row r="29" spans="1:11" x14ac:dyDescent="0.45">
      <c r="A29" s="2">
        <f t="shared" si="0"/>
        <v>27</v>
      </c>
      <c r="B29" s="2">
        <f t="shared" si="2"/>
        <v>54.499999999999936</v>
      </c>
      <c r="C29" s="2">
        <f>2*Data!B29-80</f>
        <v>28.999999999999872</v>
      </c>
      <c r="D29" s="2">
        <v>0</v>
      </c>
      <c r="E29" s="7">
        <f t="shared" si="3"/>
        <v>0.30333626440102535</v>
      </c>
      <c r="F29" s="7">
        <f t="shared" si="5"/>
        <v>7.6683692287105032E-4</v>
      </c>
      <c r="G29" s="2">
        <f t="shared" si="4"/>
        <v>0.20143456278510177</v>
      </c>
      <c r="H29" s="2">
        <f>(SystemConstants!$B$6*F29)+(0.5*SystemConstants!$B$7*SystemConstants!$B$5*Data!E29^2)+(0.5*SystemConstants!$B$7*SystemConstants!$B$2*SystemConstants!$B$3*Data!E29^2)</f>
        <v>52.628919065837074</v>
      </c>
      <c r="I29" s="1"/>
      <c r="J29" s="1"/>
      <c r="K29" s="1"/>
    </row>
    <row r="30" spans="1:11" x14ac:dyDescent="0.45">
      <c r="A30" s="2">
        <f t="shared" si="0"/>
        <v>28</v>
      </c>
      <c r="B30" s="2">
        <f t="shared" si="2"/>
        <v>54.6666666666666</v>
      </c>
      <c r="C30" s="2">
        <f>2*Data!B30-80</f>
        <v>29.333333333333201</v>
      </c>
      <c r="D30" s="2">
        <v>0</v>
      </c>
      <c r="E30" s="7">
        <f t="shared" si="3"/>
        <v>0.30409185317960663</v>
      </c>
      <c r="F30" s="7">
        <f t="shared" si="5"/>
        <v>7.5558877858128426E-4</v>
      </c>
      <c r="G30" s="2">
        <f t="shared" si="4"/>
        <v>0.19946230827551459</v>
      </c>
      <c r="H30" s="2">
        <f>(SystemConstants!$B$6*F30)+(0.5*SystemConstants!$B$7*SystemConstants!$B$5*Data!E30^2)+(0.5*SystemConstants!$B$7*SystemConstants!$B$2*SystemConstants!$B$3*Data!E30^2)</f>
        <v>52.891420231206276</v>
      </c>
      <c r="I30" s="1"/>
      <c r="J30" s="1"/>
      <c r="K30" s="1"/>
    </row>
    <row r="31" spans="1:11" x14ac:dyDescent="0.45">
      <c r="A31" s="2">
        <f t="shared" si="0"/>
        <v>29</v>
      </c>
      <c r="B31" s="2">
        <f t="shared" si="2"/>
        <v>54.833333333333265</v>
      </c>
      <c r="C31" s="2">
        <f>2*Data!B31-80</f>
        <v>29.666666666666529</v>
      </c>
      <c r="D31" s="2">
        <v>0</v>
      </c>
      <c r="E31" s="7">
        <f t="shared" si="3"/>
        <v>0.30483638552380654</v>
      </c>
      <c r="F31" s="7">
        <f t="shared" si="5"/>
        <v>7.4453234419991077E-4</v>
      </c>
      <c r="G31" s="2">
        <f t="shared" si="4"/>
        <v>0.19751411393725699</v>
      </c>
      <c r="H31" s="2">
        <f>(SystemConstants!$B$6*F31)+(0.5*SystemConstants!$B$7*SystemConstants!$B$5*Data!E31^2)+(0.5*SystemConstants!$B$7*SystemConstants!$B$2*SystemConstants!$B$3*Data!E31^2)</f>
        <v>53.150719098809496</v>
      </c>
      <c r="I31" s="1"/>
      <c r="J31" s="1"/>
      <c r="K31" s="1"/>
    </row>
    <row r="32" spans="1:11" x14ac:dyDescent="0.45">
      <c r="A32" s="2">
        <f t="shared" si="0"/>
        <v>30</v>
      </c>
      <c r="B32" s="2">
        <f t="shared" si="2"/>
        <v>54.999999999999929</v>
      </c>
      <c r="C32" s="2">
        <f>2*Data!B32-80</f>
        <v>29.999999999999858</v>
      </c>
      <c r="D32" s="2">
        <v>0</v>
      </c>
      <c r="E32" s="7">
        <f t="shared" si="3"/>
        <v>0.3055700498147047</v>
      </c>
      <c r="F32" s="7">
        <f t="shared" si="5"/>
        <v>7.3366429089816165E-4</v>
      </c>
      <c r="G32" s="2">
        <f t="shared" si="4"/>
        <v>0.19558969729703643</v>
      </c>
      <c r="H32" s="2">
        <f>(SystemConstants!$B$6*F32)+(0.5*SystemConstants!$B$7*SystemConstants!$B$5*Data!E32^2)+(0.5*SystemConstants!$B$7*SystemConstants!$B$2*SystemConstants!$B$3*Data!E32^2)</f>
        <v>53.406853263985226</v>
      </c>
      <c r="I32" s="1"/>
      <c r="J32" s="1"/>
      <c r="K32" s="1"/>
    </row>
    <row r="33" spans="1:11" x14ac:dyDescent="0.45">
      <c r="A33" s="2">
        <f t="shared" si="0"/>
        <v>31</v>
      </c>
      <c r="B33" s="2">
        <f t="shared" si="2"/>
        <v>55.166666666666593</v>
      </c>
      <c r="C33" s="2">
        <f>2*Data!B33-80</f>
        <v>30.333333333333186</v>
      </c>
      <c r="D33" s="2">
        <v>0</v>
      </c>
      <c r="E33" s="7">
        <f t="shared" si="3"/>
        <v>0.30629303114873352</v>
      </c>
      <c r="F33" s="7">
        <f t="shared" si="5"/>
        <v>7.2298133402881604E-4</v>
      </c>
      <c r="G33" s="2">
        <f t="shared" si="4"/>
        <v>0.19368877670078222</v>
      </c>
      <c r="H33" s="2">
        <f>(SystemConstants!$B$6*F33)+(0.5*SystemConstants!$B$7*SystemConstants!$B$5*Data!E33^2)+(0.5*SystemConstants!$B$7*SystemConstants!$B$2*SystemConstants!$B$3*Data!E33^2)</f>
        <v>53.659860213721082</v>
      </c>
      <c r="I33" s="1"/>
      <c r="J33" s="1"/>
      <c r="K33" s="1"/>
    </row>
    <row r="34" spans="1:11" x14ac:dyDescent="0.45">
      <c r="A34" s="2">
        <f t="shared" si="0"/>
        <v>32</v>
      </c>
      <c r="B34" s="2">
        <f t="shared" si="2"/>
        <v>55.333333333333258</v>
      </c>
      <c r="C34" s="2">
        <f>2*Data!B34-80</f>
        <v>30.666666666666515</v>
      </c>
      <c r="D34" s="2">
        <v>0</v>
      </c>
      <c r="E34" s="7">
        <f t="shared" si="3"/>
        <v>0.30700551138215104</v>
      </c>
      <c r="F34" s="7">
        <f t="shared" si="5"/>
        <v>7.1248023341752287E-4</v>
      </c>
      <c r="G34" s="2">
        <f t="shared" si="4"/>
        <v>0.19181107145285198</v>
      </c>
      <c r="H34" s="2">
        <f>(SystemConstants!$B$6*F34)+(0.5*SystemConstants!$B$7*SystemConstants!$B$5*Data!E34^2)+(0.5*SystemConstants!$B$7*SystemConstants!$B$2*SystemConstants!$B$3*Data!E34^2)</f>
        <v>53.909777305669948</v>
      </c>
      <c r="I34" s="1"/>
      <c r="J34" s="1"/>
      <c r="K34" s="1"/>
    </row>
    <row r="35" spans="1:11" x14ac:dyDescent="0.45">
      <c r="A35" s="2">
        <f t="shared" si="0"/>
        <v>33</v>
      </c>
      <c r="B35" s="2">
        <f t="shared" si="2"/>
        <v>55.499999999999922</v>
      </c>
      <c r="C35" s="2">
        <f>2*Data!B35-80</f>
        <v>30.999999999999844</v>
      </c>
      <c r="D35" s="2">
        <v>0</v>
      </c>
      <c r="E35" s="7">
        <f t="shared" si="3"/>
        <v>0.30770766917591175</v>
      </c>
      <c r="F35" s="7">
        <f t="shared" si="5"/>
        <v>7.0215779376070486E-4</v>
      </c>
      <c r="G35" s="2">
        <f t="shared" si="4"/>
        <v>0.18995630199231076</v>
      </c>
      <c r="H35" s="2">
        <f>(SystemConstants!$B$6*F35)+(0.5*SystemConstants!$B$7*SystemConstants!$B$5*Data!E35^2)+(0.5*SystemConstants!$B$7*SystemConstants!$B$2*SystemConstants!$B$3*Data!E35^2)</f>
        <v>54.156641748507901</v>
      </c>
      <c r="I35" s="1"/>
      <c r="J35" s="1"/>
      <c r="K35" s="1"/>
    </row>
    <row r="36" spans="1:11" x14ac:dyDescent="0.45">
      <c r="A36" s="2">
        <f t="shared" si="0"/>
        <v>34</v>
      </c>
      <c r="B36" s="2">
        <f t="shared" si="2"/>
        <v>55.666666666666586</v>
      </c>
      <c r="C36" s="2">
        <f>2*Data!B36-80</f>
        <v>31.333333333333172</v>
      </c>
      <c r="D36" s="2">
        <v>0</v>
      </c>
      <c r="E36" s="7">
        <f t="shared" si="3"/>
        <v>0.30839968004084284</v>
      </c>
      <c r="F36" s="7">
        <f t="shared" si="5"/>
        <v>6.9201086493109187E-4</v>
      </c>
      <c r="G36" s="2">
        <f t="shared" si="4"/>
        <v>0.1881241900038052</v>
      </c>
      <c r="H36" s="2">
        <f>(SystemConstants!$B$6*F36)+(0.5*SystemConstants!$B$7*SystemConstants!$B$5*Data!E36^2)+(0.5*SystemConstants!$B$7*SystemConstants!$B$2*SystemConstants!$B$3*Data!E36^2)</f>
        <v>54.400490583568512</v>
      </c>
      <c r="I36" s="1"/>
      <c r="J36" s="1"/>
      <c r="K36" s="1"/>
    </row>
    <row r="37" spans="1:11" x14ac:dyDescent="0.45">
      <c r="A37" s="2">
        <f t="shared" si="0"/>
        <v>35</v>
      </c>
      <c r="B37" s="2">
        <f t="shared" si="2"/>
        <v>55.83333333333325</v>
      </c>
      <c r="C37" s="2">
        <f>2*Data!B37-80</f>
        <v>31.666666666666501</v>
      </c>
      <c r="D37" s="2">
        <v>0</v>
      </c>
      <c r="E37" s="7">
        <f t="shared" si="3"/>
        <v>0.30908171638303372</v>
      </c>
      <c r="F37" s="7">
        <f t="shared" si="5"/>
        <v>6.8203634219088372E-4</v>
      </c>
      <c r="G37" s="2">
        <f t="shared" si="4"/>
        <v>0.18631445856577725</v>
      </c>
      <c r="H37" s="2">
        <f>(SystemConstants!$B$6*F37)+(0.5*SystemConstants!$B$7*SystemConstants!$B$5*Data!E37^2)+(0.5*SystemConstants!$B$7*SystemConstants!$B$2*SystemConstants!$B$3*Data!E37^2)</f>
        <v>54.641360667688474</v>
      </c>
      <c r="I37" s="1"/>
      <c r="J37" s="1"/>
      <c r="K37" s="1"/>
    </row>
    <row r="38" spans="1:11" x14ac:dyDescent="0.45">
      <c r="A38" s="2">
        <f t="shared" si="0"/>
        <v>36</v>
      </c>
      <c r="B38" s="2">
        <f t="shared" si="2"/>
        <v>55.999999999999915</v>
      </c>
      <c r="C38" s="2">
        <f>2*Data!B38-80</f>
        <v>31.999999999999829</v>
      </c>
      <c r="D38" s="2">
        <v>0</v>
      </c>
      <c r="E38" s="7">
        <f t="shared" si="3"/>
        <v>0.30975394754935337</v>
      </c>
      <c r="F38" s="7">
        <f t="shared" si="5"/>
        <v>6.7223116631964785E-4</v>
      </c>
      <c r="G38" s="2">
        <f t="shared" si="4"/>
        <v>0.18452683226334857</v>
      </c>
      <c r="H38" s="2">
        <f>(SystemConstants!$B$6*F38)+(0.5*SystemConstants!$B$7*SystemConstants!$B$5*Data!E38^2)+(0.5*SystemConstants!$B$7*SystemConstants!$B$2*SystemConstants!$B$3*Data!E38^2)</f>
        <v>54.879288657202665</v>
      </c>
      <c r="I38" s="1"/>
      <c r="J38" s="1"/>
      <c r="K38" s="1"/>
    </row>
    <row r="39" spans="1:11" x14ac:dyDescent="0.45">
      <c r="A39" s="2">
        <f t="shared" si="0"/>
        <v>37</v>
      </c>
      <c r="B39" s="2">
        <f t="shared" si="2"/>
        <v>56.166666666666579</v>
      </c>
      <c r="C39" s="2">
        <f>2*Data!B39-80</f>
        <v>32.333333333333158</v>
      </c>
      <c r="D39" s="2">
        <v>0</v>
      </c>
      <c r="E39" s="7">
        <f t="shared" si="3"/>
        <v>0.31041653987303164</v>
      </c>
      <c r="F39" s="7">
        <f t="shared" si="5"/>
        <v>6.6259232367826826E-4</v>
      </c>
      <c r="G39" s="2">
        <f t="shared" si="4"/>
        <v>0.18276103729292251</v>
      </c>
      <c r="H39" s="2">
        <f>(SystemConstants!$B$6*F39)+(0.5*SystemConstants!$B$7*SystemConstants!$B$5*Data!E39^2)+(0.5*SystemConstants!$B$7*SystemConstants!$B$2*SystemConstants!$B$3*Data!E39^2)</f>
        <v>55.114310993034131</v>
      </c>
      <c r="I39" s="1"/>
      <c r="J39" s="1"/>
      <c r="K39" s="1"/>
    </row>
    <row r="40" spans="1:11" x14ac:dyDescent="0.45">
      <c r="A40" s="2">
        <f t="shared" si="0"/>
        <v>38</v>
      </c>
      <c r="B40" s="2">
        <f t="shared" si="2"/>
        <v>56.333333333333243</v>
      </c>
      <c r="C40" s="2">
        <f>2*Data!B40-80</f>
        <v>32.666666666666487</v>
      </c>
      <c r="D40" s="2">
        <v>0</v>
      </c>
      <c r="E40" s="7">
        <f t="shared" si="3"/>
        <v>0.31106965671934006</v>
      </c>
      <c r="F40" s="7">
        <f t="shared" si="5"/>
        <v>6.5311684630842137E-4</v>
      </c>
      <c r="G40" s="2">
        <f t="shared" si="4"/>
        <v>0.18101680157207867</v>
      </c>
      <c r="H40" s="2">
        <f>(SystemConstants!$B$6*F40)+(0.5*SystemConstants!$B$7*SystemConstants!$B$5*Data!E40^2)+(0.5*SystemConstants!$B$7*SystemConstants!$B$2*SystemConstants!$B$3*Data!E40^2)</f>
        <v>55.346463886860882</v>
      </c>
      <c r="I40" s="1"/>
      <c r="J40" s="1"/>
      <c r="K40" s="1"/>
    </row>
    <row r="41" spans="1:11" x14ac:dyDescent="0.45">
      <c r="A41" s="2">
        <f t="shared" si="0"/>
        <v>39</v>
      </c>
      <c r="B41" s="2">
        <f t="shared" si="2"/>
        <v>56.499999999999908</v>
      </c>
      <c r="C41" s="2">
        <f>2*Data!B41-80</f>
        <v>32.999999999999815</v>
      </c>
      <c r="D41" s="2">
        <v>0</v>
      </c>
      <c r="E41" s="7">
        <f t="shared" si="3"/>
        <v>0.31171345853121579</v>
      </c>
      <c r="F41" s="7">
        <f t="shared" si="5"/>
        <v>6.4380181187573271E-4</v>
      </c>
      <c r="G41" s="2">
        <f t="shared" si="4"/>
        <v>0.17929385485880556</v>
      </c>
      <c r="H41" s="2">
        <f>(SystemConstants!$B$6*F41)+(0.5*SystemConstants!$B$7*SystemConstants!$B$5*Data!E41^2)+(0.5*SystemConstants!$B$7*SystemConstants!$B$2*SystemConstants!$B$3*Data!E41^2)</f>
        <v>55.575783308273259</v>
      </c>
      <c r="I41" s="1"/>
      <c r="J41" s="1"/>
      <c r="K41" s="1"/>
    </row>
    <row r="42" spans="1:11" x14ac:dyDescent="0.45">
      <c r="A42" s="2">
        <f t="shared" si="0"/>
        <v>40</v>
      </c>
      <c r="B42" s="2">
        <f t="shared" si="2"/>
        <v>56.666666666666572</v>
      </c>
      <c r="C42" s="2">
        <f>2*Data!B42-80</f>
        <v>33.333333333333144</v>
      </c>
      <c r="D42" s="2">
        <v>0</v>
      </c>
      <c r="E42" s="7">
        <f t="shared" si="3"/>
        <v>0.31234810287473636</v>
      </c>
      <c r="F42" s="7">
        <f t="shared" si="5"/>
        <v>6.3464434352056287E-4</v>
      </c>
      <c r="G42" s="2">
        <f t="shared" si="4"/>
        <v>0.17759192879638452</v>
      </c>
      <c r="H42" s="2">
        <f>(SystemConstants!$B$6*F42)+(0.5*SystemConstants!$B$7*SystemConstants!$B$5*Data!E42^2)+(0.5*SystemConstants!$B$7*SystemConstants!$B$2*SystemConstants!$B$3*Data!E42^2)</f>
        <v>55.802304972859211</v>
      </c>
      <c r="I42" s="1"/>
      <c r="J42" s="1"/>
      <c r="K42" s="1"/>
    </row>
    <row r="43" spans="1:11" x14ac:dyDescent="0.45">
      <c r="A43" s="2">
        <f t="shared" si="0"/>
        <v>41</v>
      </c>
      <c r="B43" s="2">
        <f t="shared" si="2"/>
        <v>56.833333333333236</v>
      </c>
      <c r="C43" s="2">
        <f>2*Data!B43-80</f>
        <v>33.666666666666472</v>
      </c>
      <c r="D43" s="2">
        <v>0</v>
      </c>
      <c r="E43" s="7">
        <f t="shared" si="3"/>
        <v>0.31297374448453752</v>
      </c>
      <c r="F43" s="7">
        <f t="shared" si="5"/>
        <v>6.2564160980116412E-4</v>
      </c>
      <c r="G43" s="2">
        <f t="shared" si="4"/>
        <v>0.1759107570218976</v>
      </c>
      <c r="H43" s="2">
        <f>(SystemConstants!$B$6*F43)+(0.5*SystemConstants!$B$7*SystemConstants!$B$5*Data!E43^2)+(0.5*SystemConstants!$B$7*SystemConstants!$B$2*SystemConstants!$B$3*Data!E43^2)</f>
        <v>56.026064331220731</v>
      </c>
      <c r="I43" s="1"/>
      <c r="J43" s="1"/>
      <c r="K43" s="1"/>
    </row>
    <row r="44" spans="1:11" x14ac:dyDescent="0.45">
      <c r="A44" s="2">
        <f t="shared" si="0"/>
        <v>42</v>
      </c>
      <c r="B44" s="2">
        <f t="shared" si="2"/>
        <v>56.999999999999901</v>
      </c>
      <c r="C44" s="2">
        <f>2*Data!B44-80</f>
        <v>33.999999999999801</v>
      </c>
      <c r="D44" s="2">
        <v>0</v>
      </c>
      <c r="E44" s="7">
        <f t="shared" si="3"/>
        <v>0.31359053530917436</v>
      </c>
      <c r="F44" s="7">
        <f t="shared" si="5"/>
        <v>6.1679082463683699E-4</v>
      </c>
      <c r="G44" s="2">
        <f t="shared" si="4"/>
        <v>0.17425007524604672</v>
      </c>
      <c r="H44" s="2">
        <f>(SystemConstants!$B$6*F44)+(0.5*SystemConstants!$B$7*SystemConstants!$B$5*Data!E44^2)+(0.5*SystemConstants!$B$7*SystemConstants!$B$2*SystemConstants!$B$3*Data!E44^2)</f>
        <v>56.247096558893269</v>
      </c>
      <c r="I44" s="1"/>
      <c r="J44" s="1"/>
      <c r="K44" s="1"/>
    </row>
    <row r="45" spans="1:11" x14ac:dyDescent="0.45">
      <c r="A45" s="2">
        <f t="shared" si="0"/>
        <v>43</v>
      </c>
      <c r="B45" s="2">
        <f t="shared" si="2"/>
        <v>57.166666666666565</v>
      </c>
      <c r="C45" s="2">
        <f>2*Data!B45-80</f>
        <v>34.33333333333313</v>
      </c>
      <c r="D45" s="2">
        <v>0</v>
      </c>
      <c r="E45" s="7">
        <f t="shared" si="3"/>
        <v>0.31419862455602754</v>
      </c>
      <c r="F45" s="7">
        <f t="shared" si="5"/>
        <v>6.0808924685318289E-4</v>
      </c>
      <c r="G45" s="2">
        <f t="shared" si="4"/>
        <v>0.17260962131731178</v>
      </c>
      <c r="H45" s="2">
        <f>(SystemConstants!$B$6*F45)+(0.5*SystemConstants!$B$7*SystemConstants!$B$5*Data!E45^2)+(0.5*SystemConstants!$B$7*SystemConstants!$B$2*SystemConstants!$B$3*Data!E45^2)</f>
        <v>56.465436546996848</v>
      </c>
      <c r="I45" s="1"/>
      <c r="J45" s="1"/>
      <c r="K45" s="1"/>
    </row>
    <row r="46" spans="1:11" x14ac:dyDescent="0.45">
      <c r="A46" s="2">
        <f t="shared" si="0"/>
        <v>44</v>
      </c>
      <c r="B46" s="2">
        <f t="shared" si="2"/>
        <v>57.333333333333229</v>
      </c>
      <c r="C46" s="2">
        <f>2*Data!B46-80</f>
        <v>34.666666666666458</v>
      </c>
      <c r="D46" s="2">
        <v>0</v>
      </c>
      <c r="E46" s="7">
        <f t="shared" si="3"/>
        <v>0.31479815873611017</v>
      </c>
      <c r="F46" s="7">
        <f t="shared" si="5"/>
        <v>5.9953418008262815E-4</v>
      </c>
      <c r="G46" s="2">
        <f t="shared" si="4"/>
        <v>0.17098913529052354</v>
      </c>
      <c r="H46" s="2">
        <f>(SystemConstants!$B$6*F46)+(0.5*SystemConstants!$B$7*SystemConstants!$B$5*Data!E46^2)+(0.5*SystemConstants!$B$7*SystemConstants!$B$2*SystemConstants!$B$3*Data!E46^2)</f>
        <v>56.681118893719116</v>
      </c>
      <c r="I46" s="1"/>
      <c r="J46" s="1"/>
      <c r="K46" s="1"/>
    </row>
    <row r="47" spans="1:11" x14ac:dyDescent="0.45">
      <c r="A47" s="2">
        <f t="shared" si="0"/>
        <v>45</v>
      </c>
      <c r="B47" s="2">
        <f t="shared" si="2"/>
        <v>57.499999999999893</v>
      </c>
      <c r="C47" s="2">
        <f>2*Data!B47-80</f>
        <v>34.999999999999787</v>
      </c>
      <c r="D47" s="2">
        <v>0</v>
      </c>
      <c r="E47" s="7">
        <f t="shared" si="3"/>
        <v>0.31538928170868985</v>
      </c>
      <c r="F47" s="7">
        <f t="shared" si="5"/>
        <v>5.9112297257968294E-4</v>
      </c>
      <c r="G47" s="2">
        <f t="shared" si="4"/>
        <v>0.16938835945690062</v>
      </c>
      <c r="H47" s="2">
        <f>(SystemConstants!$B$6*F47)+(0.5*SystemConstants!$B$7*SystemConstants!$B$5*Data!E47^2)+(0.5*SystemConstants!$B$7*SystemConstants!$B$2*SystemConstants!$B$3*Data!E47^2)</f>
        <v>56.894177896572735</v>
      </c>
      <c r="I47" s="1"/>
      <c r="J47" s="1"/>
      <c r="K47" s="1"/>
    </row>
    <row r="48" spans="1:11" x14ac:dyDescent="0.45">
      <c r="A48" s="2">
        <f t="shared" si="0"/>
        <v>46</v>
      </c>
      <c r="B48" s="2">
        <f t="shared" si="2"/>
        <v>57.666666666666558</v>
      </c>
      <c r="C48" s="2">
        <f>2*Data!B48-80</f>
        <v>35.333333333333115</v>
      </c>
      <c r="D48" s="2">
        <v>0</v>
      </c>
      <c r="E48" s="7">
        <f t="shared" si="3"/>
        <v>0.31597213472544183</v>
      </c>
      <c r="F48" s="7">
        <f t="shared" si="5"/>
        <v>5.8285301675198298E-4</v>
      </c>
      <c r="G48" s="2">
        <f t="shared" si="4"/>
        <v>0.1678070384461709</v>
      </c>
      <c r="H48" s="2">
        <f>(SystemConstants!$B$6*F48)+(0.5*SystemConstants!$B$7*SystemConstants!$B$5*Data!E48^2)+(0.5*SystemConstants!$B$7*SystemConstants!$B$2*SystemConstants!$B$3*Data!E48^2)</f>
        <v>57.104647545298434</v>
      </c>
      <c r="I48" s="1"/>
      <c r="J48" s="1"/>
      <c r="K48" s="1"/>
    </row>
    <row r="49" spans="1:11" x14ac:dyDescent="0.45">
      <c r="A49" s="2">
        <f t="shared" si="0"/>
        <v>47</v>
      </c>
      <c r="B49" s="2">
        <f t="shared" si="2"/>
        <v>57.833333333333222</v>
      </c>
      <c r="C49" s="2">
        <f>2*Data!B49-80</f>
        <v>35.666666666666444</v>
      </c>
      <c r="D49" s="2">
        <v>0</v>
      </c>
      <c r="E49" s="7">
        <f t="shared" si="3"/>
        <v>0.31654685647428948</v>
      </c>
      <c r="F49" s="7">
        <f t="shared" si="5"/>
        <v>5.7472174884765082E-4</v>
      </c>
      <c r="G49" s="2">
        <f t="shared" si="4"/>
        <v>0.16624491923219462</v>
      </c>
      <c r="H49" s="2">
        <f>(SystemConstants!$B$6*F49)+(0.5*SystemConstants!$B$7*SystemConstants!$B$5*Data!E49^2)+(0.5*SystemConstants!$B$7*SystemConstants!$B$2*SystemConstants!$B$3*Data!E49^2)</f>
        <v>57.312561515444358</v>
      </c>
      <c r="I49" s="1"/>
      <c r="J49" s="1"/>
      <c r="K49" s="1"/>
    </row>
    <row r="50" spans="1:11" x14ac:dyDescent="0.45">
      <c r="A50" s="2">
        <f t="shared" si="0"/>
        <v>48</v>
      </c>
      <c r="B50" s="2">
        <f t="shared" si="2"/>
        <v>57.999999999999886</v>
      </c>
      <c r="C50" s="2">
        <f>2*Data!B50-80</f>
        <v>35.999999999999773</v>
      </c>
      <c r="D50" s="2">
        <v>0</v>
      </c>
      <c r="E50" s="7">
        <f t="shared" si="3"/>
        <v>0.3171135831230032</v>
      </c>
      <c r="F50" s="7">
        <f t="shared" si="5"/>
        <v>5.6672664871371126E-4</v>
      </c>
      <c r="G50" s="2">
        <f t="shared" si="4"/>
        <v>0.164701751197288</v>
      </c>
      <c r="H50" s="2">
        <f>(SystemConstants!$B$6*F50)+(0.5*SystemConstants!$B$7*SystemConstants!$B$5*Data!E50^2)+(0.5*SystemConstants!$B$7*SystemConstants!$B$2*SystemConstants!$B$3*Data!E50^2)</f>
        <v>57.517953162622518</v>
      </c>
      <c r="I50" s="1"/>
      <c r="J50" s="1"/>
      <c r="K50" s="1"/>
    </row>
    <row r="51" spans="1:11" x14ac:dyDescent="0.45">
      <c r="A51" s="2">
        <f t="shared" si="0"/>
        <v>49</v>
      </c>
      <c r="B51" s="2">
        <f t="shared" si="2"/>
        <v>58.166666666666551</v>
      </c>
      <c r="C51" s="2">
        <f>2*Data!B51-80</f>
        <v>36.333333333333101</v>
      </c>
      <c r="D51" s="2">
        <v>0</v>
      </c>
      <c r="E51" s="7">
        <f t="shared" si="3"/>
        <v>0.31767244836223085</v>
      </c>
      <c r="F51" s="7">
        <f t="shared" si="5"/>
        <v>5.5886523922765718E-4</v>
      </c>
      <c r="G51" s="2">
        <f t="shared" si="4"/>
        <v>0.16317728616292188</v>
      </c>
      <c r="H51" s="2">
        <f>(SystemConstants!$B$6*F51)+(0.5*SystemConstants!$B$7*SystemConstants!$B$5*Data!E51^2)+(0.5*SystemConstants!$B$7*SystemConstants!$B$2*SystemConstants!$B$3*Data!E51^2)</f>
        <v>57.720855517299348</v>
      </c>
      <c r="I51" s="1"/>
      <c r="J51" s="1"/>
      <c r="K51" s="1"/>
    </row>
    <row r="52" spans="1:11" x14ac:dyDescent="0.45">
      <c r="A52" s="2">
        <f t="shared" si="0"/>
        <v>50</v>
      </c>
      <c r="B52" s="2">
        <f t="shared" si="2"/>
        <v>58.333333333333215</v>
      </c>
      <c r="C52" s="2">
        <f>2*Data!B52-80</f>
        <v>36.66666666666643</v>
      </c>
      <c r="D52" s="2">
        <v>0</v>
      </c>
      <c r="E52" s="7">
        <f t="shared" si="3"/>
        <v>0.31822358344834356</v>
      </c>
      <c r="F52" s="7">
        <f t="shared" si="5"/>
        <v>5.5113508611270845E-4</v>
      </c>
      <c r="G52" s="2">
        <f t="shared" si="4"/>
        <v>0.16167127844358772</v>
      </c>
      <c r="H52" s="2">
        <f>(SystemConstants!$B$6*F52)+(0.5*SystemConstants!$B$7*SystemConstants!$B$5*Data!E52^2)+(0.5*SystemConstants!$B$7*SystemConstants!$B$2*SystemConstants!$B$3*Data!E52^2)</f>
        <v>57.921301280236101</v>
      </c>
      <c r="I52" s="1"/>
      <c r="J52" s="1"/>
      <c r="K52" s="1"/>
    </row>
    <row r="53" spans="1:11" x14ac:dyDescent="0.45">
      <c r="A53" s="2">
        <f t="shared" si="0"/>
        <v>51</v>
      </c>
      <c r="B53" s="2">
        <f t="shared" si="2"/>
        <v>58.499999999999879</v>
      </c>
      <c r="C53" s="2">
        <f>2*Data!B53-80</f>
        <v>36.999999999999758</v>
      </c>
      <c r="D53" s="2">
        <v>0</v>
      </c>
      <c r="E53" s="7">
        <f t="shared" si="3"/>
        <v>0.31876711724557083</v>
      </c>
      <c r="F53" s="7">
        <f t="shared" si="5"/>
        <v>5.4353379722726913E-4</v>
      </c>
      <c r="G53" s="2">
        <f t="shared" si="4"/>
        <v>0.16018348484762437</v>
      </c>
      <c r="H53" s="2">
        <f>(SystemConstants!$B$6*F53)+(0.5*SystemConstants!$B$7*SystemConstants!$B$5*Data!E53^2)+(0.5*SystemConstants!$B$7*SystemConstants!$B$2*SystemConstants!$B$3*Data!E53^2)</f>
        <v>58.119322818364388</v>
      </c>
      <c r="I53" s="1"/>
      <c r="J53" s="1"/>
      <c r="K53" s="1"/>
    </row>
    <row r="54" spans="1:11" x14ac:dyDescent="0.45">
      <c r="A54" s="2">
        <f t="shared" si="0"/>
        <v>52</v>
      </c>
      <c r="B54" s="2">
        <f t="shared" si="2"/>
        <v>58.666666666666544</v>
      </c>
      <c r="C54" s="2">
        <f>2*Data!B54-80</f>
        <v>37.333333333333087</v>
      </c>
      <c r="D54" s="2">
        <v>0</v>
      </c>
      <c r="E54" s="7">
        <f t="shared" si="3"/>
        <v>0.31930317626803628</v>
      </c>
      <c r="F54" s="7">
        <f t="shared" si="5"/>
        <v>5.3605902246545156E-4</v>
      </c>
      <c r="G54" s="2">
        <f t="shared" si="4"/>
        <v>0.15871366471597012</v>
      </c>
      <c r="H54" s="2">
        <f>(SystemConstants!$B$6*F54)+(0.5*SystemConstants!$B$7*SystemConstants!$B$5*Data!E54^2)+(0.5*SystemConstants!$B$7*SystemConstants!$B$2*SystemConstants!$B$3*Data!E54^2)</f>
        <v>58.314952161297356</v>
      </c>
      <c r="I54" s="1"/>
      <c r="J54" s="1"/>
      <c r="K54" s="1"/>
    </row>
    <row r="55" spans="1:11" x14ac:dyDescent="0.45">
      <c r="A55" s="2">
        <f t="shared" si="0"/>
        <v>53</v>
      </c>
      <c r="B55" s="2">
        <f t="shared" si="2"/>
        <v>58.833333333333208</v>
      </c>
      <c r="C55" s="2">
        <f>2*Data!B55-80</f>
        <v>37.666666666666416</v>
      </c>
      <c r="D55" s="2">
        <v>0</v>
      </c>
      <c r="E55" s="7">
        <f t="shared" si="3"/>
        <v>0.31983188472098334</v>
      </c>
      <c r="F55" s="7">
        <f t="shared" si="5"/>
        <v>5.2870845294705759E-4</v>
      </c>
      <c r="G55" s="2">
        <f t="shared" si="4"/>
        <v>0.15726157996200854</v>
      </c>
      <c r="H55" s="2">
        <f>(SystemConstants!$B$6*F55)+(0.5*SystemConstants!$B$7*SystemConstants!$B$5*Data!E55^2)+(0.5*SystemConstants!$B$7*SystemConstants!$B$2*SystemConstants!$B$3*Data!E55^2)</f>
        <v>58.508220998194894</v>
      </c>
      <c r="I55" s="1"/>
      <c r="J55" s="1"/>
      <c r="K55" s="1"/>
    </row>
    <row r="56" spans="1:11" x14ac:dyDescent="0.45">
      <c r="A56" s="2">
        <f t="shared" si="0"/>
        <v>54</v>
      </c>
      <c r="B56" s="2">
        <f t="shared" si="2"/>
        <v>58.999999999999872</v>
      </c>
      <c r="C56" s="2">
        <f>2*Data!B56-80</f>
        <v>37.999999999999744</v>
      </c>
      <c r="D56" s="2">
        <v>0</v>
      </c>
      <c r="E56" s="7">
        <f t="shared" si="3"/>
        <v>0.32035336454175933</v>
      </c>
      <c r="F56" s="7">
        <f t="shared" si="5"/>
        <v>5.2147982077599409E-4</v>
      </c>
      <c r="G56" s="2">
        <f t="shared" si="4"/>
        <v>0.15582699506103456</v>
      </c>
      <c r="H56" s="2">
        <f>(SystemConstants!$B$6*F56)+(0.5*SystemConstants!$B$7*SystemConstants!$B$5*Data!E56^2)+(0.5*SystemConstants!$B$7*SystemConstants!$B$2*SystemConstants!$B$3*Data!E56^2)</f>
        <v>58.699160675169615</v>
      </c>
      <c r="I56" s="1"/>
      <c r="J56" s="1"/>
      <c r="K56" s="1"/>
    </row>
    <row r="57" spans="1:11" x14ac:dyDescent="0.45">
      <c r="A57" s="2">
        <f t="shared" si="0"/>
        <v>55</v>
      </c>
      <c r="B57" s="2">
        <f t="shared" si="2"/>
        <v>59.166666666666536</v>
      </c>
      <c r="C57" s="2">
        <f>2*Data!B57-80</f>
        <v>38.333333333333073</v>
      </c>
      <c r="D57" s="2">
        <v>0</v>
      </c>
      <c r="E57" s="7">
        <f t="shared" si="3"/>
        <v>0.32086773544021696</v>
      </c>
      <c r="F57" s="7">
        <f t="shared" si="5"/>
        <v>5.1437089845762785E-4</v>
      </c>
      <c r="G57" s="2">
        <f t="shared" si="4"/>
        <v>0.15440967708066064</v>
      </c>
      <c r="H57" s="2">
        <f>(SystemConstants!$B$6*F57)+(0.5*SystemConstants!$B$7*SystemConstants!$B$5*Data!E57^2)+(0.5*SystemConstants!$B$7*SystemConstants!$B$2*SystemConstants!$B$3*Data!E57^2)</f>
        <v>58.887802193087744</v>
      </c>
      <c r="I57" s="1"/>
      <c r="J57" s="1"/>
      <c r="K57" s="1"/>
    </row>
    <row r="58" spans="1:11" x14ac:dyDescent="0.45">
      <c r="A58" s="2">
        <f t="shared" si="0"/>
        <v>56</v>
      </c>
      <c r="B58" s="2">
        <f t="shared" si="2"/>
        <v>59.333333333333201</v>
      </c>
      <c r="C58" s="2">
        <f>2*Data!B58-80</f>
        <v>38.666666666666401</v>
      </c>
      <c r="D58" s="2">
        <v>0</v>
      </c>
      <c r="E58" s="7">
        <f t="shared" si="3"/>
        <v>0.32137511493871784</v>
      </c>
      <c r="F58" s="7">
        <f t="shared" si="5"/>
        <v>5.0737949850088171E-4</v>
      </c>
      <c r="G58" s="2">
        <f t="shared" si="4"/>
        <v>0.15300939572642575</v>
      </c>
      <c r="H58" s="2">
        <f>(SystemConstants!$B$6*F58)+(0.5*SystemConstants!$B$7*SystemConstants!$B$5*Data!E58^2)+(0.5*SystemConstants!$B$7*SystemConstants!$B$2*SystemConstants!$B$3*Data!E58^2)</f>
        <v>59.074176205812925</v>
      </c>
      <c r="I58" s="1"/>
      <c r="J58" s="1"/>
      <c r="K58" s="1"/>
    </row>
    <row r="59" spans="1:11" x14ac:dyDescent="0.45">
      <c r="A59" s="2">
        <f t="shared" si="0"/>
        <v>57</v>
      </c>
      <c r="B59" s="2">
        <f t="shared" si="2"/>
        <v>59.499999999999865</v>
      </c>
      <c r="C59" s="2">
        <f>2*Data!B59-80</f>
        <v>38.99999999999973</v>
      </c>
      <c r="D59" s="2">
        <v>0</v>
      </c>
      <c r="E59" s="7">
        <f t="shared" si="3"/>
        <v>0.32187561841136869</v>
      </c>
      <c r="F59" s="7">
        <f t="shared" si="5"/>
        <v>5.0050347265084838E-4</v>
      </c>
      <c r="G59" s="2">
        <f t="shared" si="4"/>
        <v>0.15162592327845156</v>
      </c>
      <c r="H59" s="2">
        <f>(SystemConstants!$B$6*F59)+(0.5*SystemConstants!$B$7*SystemConstants!$B$5*Data!E59^2)+(0.5*SystemConstants!$B$7*SystemConstants!$B$2*SystemConstants!$B$3*Data!E59^2)</f>
        <v>59.258313018737169</v>
      </c>
      <c r="I59" s="1"/>
      <c r="J59" s="1"/>
      <c r="K59" s="1"/>
    </row>
    <row r="60" spans="1:11" x14ac:dyDescent="0.45">
      <c r="A60" s="2">
        <f t="shared" si="0"/>
        <v>58</v>
      </c>
      <c r="B60" s="2">
        <f t="shared" si="2"/>
        <v>59.666666666666529</v>
      </c>
      <c r="C60" s="2">
        <f>2*Data!B60-80</f>
        <v>39.333333333333059</v>
      </c>
      <c r="D60" s="2">
        <v>0</v>
      </c>
      <c r="E60" s="7">
        <f t="shared" si="3"/>
        <v>0.32236935912315801</v>
      </c>
      <c r="F60" s="7">
        <f t="shared" si="5"/>
        <v>4.9374071178931445E-4</v>
      </c>
      <c r="G60" s="2">
        <f t="shared" si="4"/>
        <v>0.15025903467687224</v>
      </c>
      <c r="H60" s="2">
        <f>(SystemConstants!$B$6*F60)+(0.5*SystemConstants!$B$7*SystemConstants!$B$5*Data!E60^2)+(0.5*SystemConstants!$B$7*SystemConstants!$B$2*SystemConstants!$B$3*Data!E60^2)</f>
        <v>59.44024258782629</v>
      </c>
      <c r="I60" s="1"/>
      <c r="J60" s="1"/>
      <c r="K60" s="1"/>
    </row>
    <row r="61" spans="1:11" x14ac:dyDescent="0.45">
      <c r="A61" s="2">
        <f t="shared" si="0"/>
        <v>59</v>
      </c>
      <c r="B61" s="2">
        <f t="shared" si="2"/>
        <v>59.833333333333194</v>
      </c>
      <c r="C61" s="2">
        <f>2*Data!B61-80</f>
        <v>39.666666666666387</v>
      </c>
      <c r="D61" s="2">
        <v>0</v>
      </c>
      <c r="E61" s="7">
        <f t="shared" si="3"/>
        <v>0.3228564482680838</v>
      </c>
      <c r="F61" s="7">
        <f t="shared" si="5"/>
        <v>4.870891449257897E-4</v>
      </c>
      <c r="G61" s="2">
        <f t="shared" si="4"/>
        <v>0.14890850747427847</v>
      </c>
      <c r="H61" s="2">
        <f>(SystemConstants!$B$6*F61)+(0.5*SystemConstants!$B$7*SystemConstants!$B$5*Data!E61^2)+(0.5*SystemConstants!$B$7*SystemConstants!$B$2*SystemConstants!$B$3*Data!E61^2)</f>
        <v>59.619994518825564</v>
      </c>
      <c r="I61" s="1"/>
      <c r="J61" s="1"/>
      <c r="K61" s="1"/>
    </row>
    <row r="62" spans="1:11" x14ac:dyDescent="0.45">
      <c r="A62" s="2">
        <f t="shared" si="0"/>
        <v>60</v>
      </c>
      <c r="B62" s="2">
        <f t="shared" si="2"/>
        <v>59.999999999999858</v>
      </c>
      <c r="C62" s="2">
        <f>2*Data!B62-80</f>
        <v>39.999999999999716</v>
      </c>
      <c r="D62" s="2">
        <v>0</v>
      </c>
      <c r="E62" s="7">
        <f t="shared" si="3"/>
        <v>0.32333699500721025</v>
      </c>
      <c r="F62" s="7">
        <f t="shared" si="5"/>
        <v>4.8054673912645285E-4</v>
      </c>
      <c r="G62" s="2">
        <f t="shared" si="4"/>
        <v>0.14757412185934304</v>
      </c>
      <c r="H62" s="2">
        <f>(SystemConstants!$B$6*F62)+(0.5*SystemConstants!$B$7*SystemConstants!$B$5*Data!E62^2)+(0.5*SystemConstants!$B$7*SystemConstants!$B$2*SystemConstants!$B$3*Data!E62^2)</f>
        <v>59.797598066954642</v>
      </c>
      <c r="I62" s="1"/>
      <c r="J62" s="1"/>
      <c r="K62" s="1"/>
    </row>
    <row r="63" spans="1:11" x14ac:dyDescent="0.45">
      <c r="A63" s="2">
        <f t="shared" si="0"/>
        <v>61</v>
      </c>
      <c r="B63" s="2">
        <f t="shared" si="2"/>
        <v>60.166666666666522</v>
      </c>
      <c r="C63" s="2">
        <f>2*Data!B63-80</f>
        <v>40.333333333333044</v>
      </c>
      <c r="D63" s="2">
        <v>0</v>
      </c>
      <c r="E63" s="7">
        <f t="shared" si="3"/>
        <v>0.32381110650581491</v>
      </c>
      <c r="F63" s="7">
        <f t="shared" si="5"/>
        <v>4.7411149860465684E-4</v>
      </c>
      <c r="G63" s="2">
        <f t="shared" si="4"/>
        <v>0.14625566066881751</v>
      </c>
      <c r="H63" s="2">
        <f>(SystemConstants!$B$6*F63)+(0.5*SystemConstants!$B$7*SystemConstants!$B$5*Data!E63^2)+(0.5*SystemConstants!$B$7*SystemConstants!$B$2*SystemConstants!$B$3*Data!E63^2)</f>
        <v>59.973082136763786</v>
      </c>
      <c r="I63" s="1"/>
      <c r="J63" s="1"/>
      <c r="K63" s="1"/>
    </row>
    <row r="64" spans="1:11" x14ac:dyDescent="0.45">
      <c r="A64" s="2">
        <f t="shared" si="0"/>
        <v>62</v>
      </c>
      <c r="B64" s="2">
        <f t="shared" si="2"/>
        <v>60.333333333333186</v>
      </c>
      <c r="C64" s="2">
        <f>2*Data!B64-80</f>
        <v>40.666666666666373</v>
      </c>
      <c r="D64" s="2">
        <v>0</v>
      </c>
      <c r="E64" s="7">
        <f t="shared" si="3"/>
        <v>0.32427888797026583</v>
      </c>
      <c r="F64" s="7">
        <f t="shared" si="5"/>
        <v>4.6778146445092261E-4</v>
      </c>
      <c r="G64" s="2">
        <f t="shared" si="4"/>
        <v>0.14495290935250821</v>
      </c>
      <c r="H64" s="2">
        <f>(SystemConstants!$B$6*F64)+(0.5*SystemConstants!$B$7*SystemConstants!$B$5*Data!E64^2)+(0.5*SystemConstants!$B$7*SystemConstants!$B$2*SystemConstants!$B$3*Data!E64^2)</f>
        <v>60.146475282371867</v>
      </c>
      <c r="I64" s="1"/>
      <c r="J64" s="1"/>
      <c r="K64" s="1"/>
    </row>
    <row r="65" spans="1:11" x14ac:dyDescent="0.45">
      <c r="A65" s="2">
        <f t="shared" si="0"/>
        <v>63</v>
      </c>
      <c r="B65" s="2">
        <f t="shared" si="2"/>
        <v>60.499999999999851</v>
      </c>
      <c r="C65" s="2">
        <f>2*Data!B65-80</f>
        <v>40.999999999999702</v>
      </c>
      <c r="D65" s="2">
        <v>0</v>
      </c>
      <c r="E65" s="7">
        <f t="shared" si="3"/>
        <v>0.3247404426841598</v>
      </c>
      <c r="F65" s="7">
        <f t="shared" si="5"/>
        <v>4.6155471389397462E-4</v>
      </c>
      <c r="G65" s="2">
        <f t="shared" si="4"/>
        <v>0.1436656560045346</v>
      </c>
      <c r="H65" s="2">
        <f>(SystemConstants!$B$6*F65)+(0.5*SystemConstants!$B$7*SystemConstants!$B$5*Data!E65^2)+(0.5*SystemConstants!$B$7*SystemConstants!$B$2*SystemConstants!$B$3*Data!E65^2)</f>
        <v>60.317805707895616</v>
      </c>
      <c r="I65" s="1"/>
      <c r="J65" s="1"/>
      <c r="K65" s="1"/>
    </row>
    <row r="66" spans="1:11" x14ac:dyDescent="0.45">
      <c r="A66" s="2">
        <f t="shared" si="0"/>
        <v>64</v>
      </c>
      <c r="B66" s="2">
        <f t="shared" si="2"/>
        <v>60.666666666666515</v>
      </c>
      <c r="C66" s="2">
        <f>2*Data!B66-80</f>
        <v>41.33333333333303</v>
      </c>
      <c r="D66" s="2">
        <v>0</v>
      </c>
      <c r="E66" s="7">
        <f t="shared" si="3"/>
        <v>0.32519587204407685</v>
      </c>
      <c r="F66" s="7">
        <f t="shared" si="5"/>
        <v>4.554293599170478E-4</v>
      </c>
      <c r="G66" s="2">
        <f t="shared" si="4"/>
        <v>0.1423936913352768</v>
      </c>
      <c r="H66" s="2">
        <f>(SystemConstants!$B$6*F66)+(0.5*SystemConstants!$B$7*SystemConstants!$B$5*Data!E66^2)+(0.5*SystemConstants!$B$7*SystemConstants!$B$2*SystemConstants!$B$3*Data!E66^2)</f>
        <v>60.487101268186457</v>
      </c>
      <c r="I66" s="1"/>
      <c r="J66" s="1"/>
      <c r="K66" s="1"/>
    </row>
    <row r="67" spans="1:11" x14ac:dyDescent="0.45">
      <c r="A67" s="2">
        <f t="shared" ref="A67:A130" si="6">A66+1</f>
        <v>65</v>
      </c>
      <c r="B67" s="2">
        <f t="shared" si="2"/>
        <v>60.833333333333179</v>
      </c>
      <c r="C67" s="2">
        <f>2*Data!B67-80</f>
        <v>41.666666666666359</v>
      </c>
      <c r="D67" s="2">
        <v>0</v>
      </c>
      <c r="E67" s="7">
        <f t="shared" si="3"/>
        <v>0.32564527559468104</v>
      </c>
      <c r="F67" s="7">
        <f t="shared" si="5"/>
        <v>4.4940355060418824E-4</v>
      </c>
      <c r="G67" s="2">
        <f t="shared" si="4"/>
        <v>0.14113680868315634</v>
      </c>
      <c r="H67" s="2">
        <f>(SystemConstants!$B$6*F67)+(0.5*SystemConstants!$B$7*SystemConstants!$B$5*Data!E67^2)+(0.5*SystemConstants!$B$7*SystemConstants!$B$2*SystemConstants!$B$3*Data!E67^2)</f>
        <v>60.654389469759167</v>
      </c>
      <c r="I67" s="1"/>
      <c r="J67" s="1"/>
      <c r="K67" s="1"/>
    </row>
    <row r="68" spans="1:11" x14ac:dyDescent="0.45">
      <c r="A68" s="2">
        <f t="shared" si="6"/>
        <v>66</v>
      </c>
      <c r="B68" s="2">
        <f t="shared" ref="B68:B131" si="7">B67+(30/180)</f>
        <v>60.999999999999844</v>
      </c>
      <c r="C68" s="2">
        <f>2*Data!B68-80</f>
        <v>41.999999999999687</v>
      </c>
      <c r="D68" s="2">
        <v>0</v>
      </c>
      <c r="E68" s="7">
        <f t="shared" ref="E68:E131" si="8">ABS((SQRT(B68^2+C68^2+D68^2)-SQRT(B67^2+C67^2+D67^2))/(A68-A67))</f>
        <v>0.32608875106328128</v>
      </c>
      <c r="F68" s="7">
        <f t="shared" si="5"/>
        <v>4.4347546860024067E-4</v>
      </c>
      <c r="G68" s="2">
        <f t="shared" si="4"/>
        <v>0.13989480398340326</v>
      </c>
      <c r="H68" s="2">
        <f>(SystemConstants!$B$6*F68)+(0.5*SystemConstants!$B$7*SystemConstants!$B$5*Data!E68^2)+(0.5*SystemConstants!$B$7*SystemConstants!$B$2*SystemConstants!$B$3*Data!E68^2)</f>
        <v>60.819697471939733</v>
      </c>
      <c r="I68" s="1"/>
      <c r="J68" s="1"/>
      <c r="K68" s="1"/>
    </row>
    <row r="69" spans="1:11" x14ac:dyDescent="0.45">
      <c r="A69" s="2">
        <f t="shared" si="6"/>
        <v>67</v>
      </c>
      <c r="B69" s="2">
        <f t="shared" si="7"/>
        <v>61.166666666666508</v>
      </c>
      <c r="C69" s="2">
        <f>2*Data!B69-80</f>
        <v>42.333333333333016</v>
      </c>
      <c r="D69" s="2">
        <v>0</v>
      </c>
      <c r="E69" s="7">
        <f t="shared" si="8"/>
        <v>0.32652639439389475</v>
      </c>
      <c r="F69" s="7">
        <f t="shared" si="5"/>
        <v>4.3764333061346861E-4</v>
      </c>
      <c r="G69" s="2">
        <f t="shared" ref="G69:G132" si="9">DEGREES(ACOS( (B68*B69+C68*C69+D68*D69) / SQRT((B68^2+C68^2+D68^2)*(B69^2+C69^2+D69^2))))</f>
        <v>0.13866747577488775</v>
      </c>
      <c r="H69" s="2">
        <f>(SystemConstants!$B$6*F69)+(0.5*SystemConstants!$B$7*SystemConstants!$B$5*Data!E69^2)+(0.5*SystemConstants!$B$7*SystemConstants!$B$2*SystemConstants!$B$3*Data!E69^2)</f>
        <v>60.983052088234174</v>
      </c>
      <c r="I69" s="1"/>
      <c r="J69" s="1"/>
      <c r="K69" s="1"/>
    </row>
    <row r="70" spans="1:11" x14ac:dyDescent="0.45">
      <c r="A70" s="2">
        <f t="shared" si="6"/>
        <v>68</v>
      </c>
      <c r="B70" s="2">
        <f t="shared" si="7"/>
        <v>61.333333333333172</v>
      </c>
      <c r="C70" s="2">
        <f>2*Data!B70-80</f>
        <v>42.666666666666345</v>
      </c>
      <c r="D70" s="2">
        <v>0</v>
      </c>
      <c r="E70" s="7">
        <f t="shared" si="8"/>
        <v>0.32695829978079871</v>
      </c>
      <c r="F70" s="7">
        <f t="shared" si="5"/>
        <v>4.3190538690396352E-4</v>
      </c>
      <c r="G70" s="2">
        <f t="shared" si="9"/>
        <v>0.13745462517655863</v>
      </c>
      <c r="H70" s="2">
        <f>(SystemConstants!$B$6*F70)+(0.5*SystemConstants!$B$7*SystemConstants!$B$5*Data!E70^2)+(0.5*SystemConstants!$B$7*SystemConstants!$B$2*SystemConstants!$B$3*Data!E70^2)</f>
        <v>61.144479787899023</v>
      </c>
      <c r="I70" s="1"/>
      <c r="J70" s="1"/>
      <c r="K70" s="1"/>
    </row>
    <row r="71" spans="1:11" x14ac:dyDescent="0.45">
      <c r="A71" s="2">
        <f t="shared" si="6"/>
        <v>69</v>
      </c>
      <c r="B71" s="2">
        <f t="shared" si="7"/>
        <v>61.499999999999837</v>
      </c>
      <c r="C71" s="2">
        <f>2*Data!B71-80</f>
        <v>42.999999999999673</v>
      </c>
      <c r="D71" s="2">
        <v>0</v>
      </c>
      <c r="E71" s="7">
        <f t="shared" si="8"/>
        <v>0.3273845597013576</v>
      </c>
      <c r="F71" s="7">
        <f t="shared" si="5"/>
        <v>4.2625992055889128E-4</v>
      </c>
      <c r="G71" s="2">
        <f t="shared" si="9"/>
        <v>0.1362560558926342</v>
      </c>
      <c r="H71" s="2">
        <f>(SystemConstants!$B$6*F71)+(0.5*SystemConstants!$B$7*SystemConstants!$B$5*Data!E71^2)+(0.5*SystemConstants!$B$7*SystemConstants!$B$2*SystemConstants!$B$3*Data!E71^2)</f>
        <v>61.304006697620196</v>
      </c>
      <c r="I71" s="1"/>
      <c r="J71" s="1"/>
      <c r="K71" s="1"/>
    </row>
    <row r="72" spans="1:11" x14ac:dyDescent="0.45">
      <c r="A72" s="2">
        <f t="shared" si="6"/>
        <v>70</v>
      </c>
      <c r="B72" s="2">
        <f t="shared" si="7"/>
        <v>61.666666666666501</v>
      </c>
      <c r="C72" s="2">
        <f>2*Data!B72-80</f>
        <v>43.333333333333002</v>
      </c>
      <c r="D72" s="2">
        <v>0</v>
      </c>
      <c r="E72" s="7">
        <f t="shared" si="8"/>
        <v>0.32780526494858009</v>
      </c>
      <c r="F72" s="7">
        <f t="shared" si="5"/>
        <v>4.2070524722248592E-4</v>
      </c>
      <c r="G72" s="2">
        <f t="shared" si="9"/>
        <v>0.13507157417886265</v>
      </c>
      <c r="H72" s="2">
        <f>(SystemConstants!$B$6*F72)+(0.5*SystemConstants!$B$7*SystemConstants!$B$5*Data!E72^2)+(0.5*SystemConstants!$B$7*SystemConstants!$B$2*SystemConstants!$B$3*Data!E72^2)</f>
        <v>61.461658603457764</v>
      </c>
      <c r="I72" s="1"/>
      <c r="J72" s="1"/>
      <c r="K72" s="1"/>
    </row>
    <row r="73" spans="1:11" x14ac:dyDescent="0.45">
      <c r="A73" s="2">
        <f t="shared" si="6"/>
        <v>71</v>
      </c>
      <c r="B73" s="2">
        <f t="shared" si="7"/>
        <v>61.833333333333165</v>
      </c>
      <c r="C73" s="2">
        <f>2*Data!B73-80</f>
        <v>43.66666666666633</v>
      </c>
      <c r="D73" s="2">
        <v>0</v>
      </c>
      <c r="E73" s="7">
        <f t="shared" si="8"/>
        <v>0.32822050466282349</v>
      </c>
      <c r="F73" s="7">
        <f t="shared" ref="F73:F136" si="10">(E73-E72)/(A73-A72)</f>
        <v>4.1523971424339834E-4</v>
      </c>
      <c r="G73" s="2">
        <f t="shared" si="9"/>
        <v>0.13390098884075388</v>
      </c>
      <c r="H73" s="2">
        <f>(SystemConstants!$B$6*F73)+(0.5*SystemConstants!$B$7*SystemConstants!$B$5*Data!E73^2)+(0.5*SystemConstants!$B$7*SystemConstants!$B$2*SystemConstants!$B$3*Data!E73^2)</f>
        <v>61.617460952825205</v>
      </c>
      <c r="I73" s="1"/>
      <c r="J73" s="1"/>
      <c r="K73" s="1"/>
    </row>
    <row r="74" spans="1:11" x14ac:dyDescent="0.45">
      <c r="A74" s="2">
        <f t="shared" si="6"/>
        <v>72</v>
      </c>
      <c r="B74" s="2">
        <f t="shared" si="7"/>
        <v>61.999999999999829</v>
      </c>
      <c r="C74" s="2">
        <f>2*Data!B74-80</f>
        <v>43.999999999999659</v>
      </c>
      <c r="D74" s="2">
        <v>0</v>
      </c>
      <c r="E74" s="7">
        <f t="shared" si="8"/>
        <v>0.32863036636327081</v>
      </c>
      <c r="F74" s="7">
        <f t="shared" si="10"/>
        <v>4.0986170044732262E-4</v>
      </c>
      <c r="G74" s="2">
        <f t="shared" si="9"/>
        <v>0.1327441112029443</v>
      </c>
      <c r="H74" s="2">
        <f>(SystemConstants!$B$6*F74)+(0.5*SystemConstants!$B$7*SystemConstants!$B$5*Data!E74^2)+(0.5*SystemConstants!$B$7*SystemConstants!$B$2*SystemConstants!$B$3*Data!E74^2)</f>
        <v>61.771438856726029</v>
      </c>
      <c r="I74" s="1"/>
      <c r="J74" s="1"/>
      <c r="K74" s="1"/>
    </row>
    <row r="75" spans="1:11" x14ac:dyDescent="0.45">
      <c r="A75" s="2">
        <f t="shared" si="6"/>
        <v>73</v>
      </c>
      <c r="B75" s="2">
        <f t="shared" si="7"/>
        <v>62.166666666666494</v>
      </c>
      <c r="C75" s="2">
        <f>2*Data!B75-80</f>
        <v>44.333333333332988</v>
      </c>
      <c r="D75" s="2">
        <v>0</v>
      </c>
      <c r="E75" s="7">
        <f t="shared" si="8"/>
        <v>0.329034935978612</v>
      </c>
      <c r="F75" s="7">
        <f t="shared" si="10"/>
        <v>4.0456961534118818E-4</v>
      </c>
      <c r="G75" s="2">
        <f t="shared" si="9"/>
        <v>0.13160075511171584</v>
      </c>
      <c r="H75" s="2">
        <f>(SystemConstants!$B$6*F75)+(0.5*SystemConstants!$B$7*SystemConstants!$B$5*Data!E75^2)+(0.5*SystemConstants!$B$7*SystemConstants!$B$2*SystemConstants!$B$3*Data!E75^2)</f>
        <v>61.923617092022035</v>
      </c>
      <c r="I75" s="1"/>
      <c r="J75" s="1"/>
      <c r="K75" s="1"/>
    </row>
    <row r="76" spans="1:11" x14ac:dyDescent="0.45">
      <c r="A76" s="2">
        <f t="shared" si="6"/>
        <v>74</v>
      </c>
      <c r="B76" s="2">
        <f t="shared" si="7"/>
        <v>62.333333333333158</v>
      </c>
      <c r="C76" s="2">
        <f>2*Data!B76-80</f>
        <v>44.666666666666316</v>
      </c>
      <c r="D76" s="2">
        <v>0</v>
      </c>
      <c r="E76" s="7">
        <f t="shared" si="8"/>
        <v>0.32943429787745515</v>
      </c>
      <c r="F76" s="7">
        <f t="shared" si="10"/>
        <v>3.9936189884315354E-4</v>
      </c>
      <c r="G76" s="2">
        <f t="shared" si="9"/>
        <v>0.13047073689749089</v>
      </c>
      <c r="H76" s="2">
        <f>(SystemConstants!$B$6*F76)+(0.5*SystemConstants!$B$7*SystemConstants!$B$5*Data!E76^2)+(0.5*SystemConstants!$B$7*SystemConstants!$B$2*SystemConstants!$B$3*Data!E76^2)</f>
        <v>62.074020103919999</v>
      </c>
      <c r="I76" s="1"/>
      <c r="J76" s="1"/>
      <c r="K76" s="1"/>
    </row>
    <row r="77" spans="1:11" x14ac:dyDescent="0.45">
      <c r="A77" s="2">
        <f t="shared" si="6"/>
        <v>75</v>
      </c>
      <c r="B77" s="2">
        <f t="shared" si="7"/>
        <v>62.499999999999822</v>
      </c>
      <c r="C77" s="2">
        <f>2*Data!B77-80</f>
        <v>44.999999999999645</v>
      </c>
      <c r="D77" s="2">
        <v>0</v>
      </c>
      <c r="E77" s="7">
        <f t="shared" si="8"/>
        <v>0.3298285348978709</v>
      </c>
      <c r="F77" s="7">
        <f t="shared" si="10"/>
        <v>3.9423702041574415E-4</v>
      </c>
      <c r="G77" s="2">
        <f t="shared" si="9"/>
        <v>0.12935387535966733</v>
      </c>
      <c r="H77" s="2">
        <f>(SystemConstants!$B$6*F77)+(0.5*SystemConstants!$B$7*SystemConstants!$B$5*Data!E77^2)+(0.5*SystemConstants!$B$7*SystemConstants!$B$2*SystemConstants!$B$3*Data!E77^2)</f>
        <v>62.222672008440355</v>
      </c>
      <c r="I77" s="1"/>
      <c r="J77" s="1"/>
      <c r="K77" s="1"/>
    </row>
    <row r="78" spans="1:11" x14ac:dyDescent="0.45">
      <c r="A78" s="2">
        <f t="shared" si="6"/>
        <v>76</v>
      </c>
      <c r="B78" s="2">
        <f t="shared" si="7"/>
        <v>62.666666666666487</v>
      </c>
      <c r="C78" s="2">
        <f>2*Data!B78-80</f>
        <v>45.333333333332973</v>
      </c>
      <c r="D78" s="2">
        <v>0</v>
      </c>
      <c r="E78" s="7">
        <f t="shared" si="8"/>
        <v>0.33021772837679464</v>
      </c>
      <c r="F78" s="7">
        <f t="shared" si="10"/>
        <v>3.891934789237439E-4</v>
      </c>
      <c r="G78" s="2">
        <f t="shared" si="9"/>
        <v>0.12824999176999</v>
      </c>
      <c r="H78" s="2">
        <f>(SystemConstants!$B$6*F78)+(0.5*SystemConstants!$B$7*SystemConstants!$B$5*Data!E78^2)+(0.5*SystemConstants!$B$7*SystemConstants!$B$2*SystemConstants!$B$3*Data!E78^2)</f>
        <v>62.369596595131284</v>
      </c>
      <c r="I78" s="1"/>
      <c r="J78" s="1"/>
      <c r="K78" s="1"/>
    </row>
    <row r="79" spans="1:11" x14ac:dyDescent="0.45">
      <c r="A79" s="2">
        <f t="shared" si="6"/>
        <v>77</v>
      </c>
      <c r="B79" s="2">
        <f t="shared" si="7"/>
        <v>62.833333333333151</v>
      </c>
      <c r="C79" s="2">
        <f>2*Data!B79-80</f>
        <v>45.666666666666302</v>
      </c>
      <c r="D79" s="2">
        <v>0</v>
      </c>
      <c r="E79" s="7">
        <f t="shared" si="8"/>
        <v>0.33060195817859039</v>
      </c>
      <c r="F79" s="7">
        <f t="shared" si="10"/>
        <v>3.8422980179575461E-4</v>
      </c>
      <c r="G79" s="2">
        <f t="shared" si="9"/>
        <v>0.12715890980639516</v>
      </c>
      <c r="H79" s="2">
        <f>(SystemConstants!$B$6*F79)+(0.5*SystemConstants!$B$7*SystemConstants!$B$5*Data!E79^2)+(0.5*SystemConstants!$B$7*SystemConstants!$B$2*SystemConstants!$B$3*Data!E79^2)</f>
        <v>62.514817329754031</v>
      </c>
      <c r="I79" s="1"/>
      <c r="J79" s="1"/>
      <c r="K79" s="1"/>
    </row>
    <row r="80" spans="1:11" x14ac:dyDescent="0.45">
      <c r="A80" s="2">
        <f t="shared" si="6"/>
        <v>78</v>
      </c>
      <c r="B80" s="2">
        <f t="shared" si="7"/>
        <v>62.999999999999815</v>
      </c>
      <c r="C80" s="2">
        <f>2*Data!B80-80</f>
        <v>45.999999999999631</v>
      </c>
      <c r="D80" s="2">
        <v>0</v>
      </c>
      <c r="E80" s="7">
        <f t="shared" si="8"/>
        <v>0.33098130272335879</v>
      </c>
      <c r="F80" s="7">
        <f t="shared" si="10"/>
        <v>3.7934454476840074E-4</v>
      </c>
      <c r="G80" s="2">
        <f t="shared" si="9"/>
        <v>0.12608045558148273</v>
      </c>
      <c r="H80" s="2">
        <f>(SystemConstants!$B$6*F80)+(0.5*SystemConstants!$B$7*SystemConstants!$B$5*Data!E80^2)+(0.5*SystemConstants!$B$7*SystemConstants!$B$2*SystemConstants!$B$3*Data!E80^2)</f>
        <v>62.658357357150798</v>
      </c>
      <c r="I80" s="1"/>
      <c r="J80" s="1"/>
      <c r="K80" s="1"/>
    </row>
    <row r="81" spans="1:11" x14ac:dyDescent="0.45">
      <c r="A81" s="2">
        <f t="shared" si="6"/>
        <v>79</v>
      </c>
      <c r="B81" s="2">
        <f t="shared" si="7"/>
        <v>63.16666666666648</v>
      </c>
      <c r="C81" s="2">
        <f>2*Data!B81-80</f>
        <v>46.333333333332959</v>
      </c>
      <c r="D81" s="2">
        <v>0</v>
      </c>
      <c r="E81" s="7">
        <f t="shared" si="8"/>
        <v>0.331355839014563</v>
      </c>
      <c r="F81" s="7">
        <f t="shared" si="10"/>
        <v>3.7453629120420828E-4</v>
      </c>
      <c r="G81" s="2">
        <f t="shared" si="9"/>
        <v>0.12501445758148794</v>
      </c>
      <c r="H81" s="2">
        <f>(SystemConstants!$B$6*F81)+(0.5*SystemConstants!$B$7*SystemConstants!$B$5*Data!E81^2)+(0.5*SystemConstants!$B$7*SystemConstants!$B$2*SystemConstants!$B$3*Data!E81^2)</f>
        <v>62.800239504123226</v>
      </c>
      <c r="I81" s="1"/>
      <c r="J81" s="1"/>
      <c r="K81" s="1"/>
    </row>
    <row r="82" spans="1:11" x14ac:dyDescent="0.45">
      <c r="A82" s="2">
        <f t="shared" si="6"/>
        <v>80</v>
      </c>
      <c r="B82" s="2">
        <f t="shared" si="7"/>
        <v>63.333333333333144</v>
      </c>
      <c r="C82" s="2">
        <f>2*Data!B82-80</f>
        <v>46.666666666666288</v>
      </c>
      <c r="D82" s="2">
        <v>0</v>
      </c>
      <c r="E82" s="7">
        <f t="shared" si="8"/>
        <v>0.33172564266617144</v>
      </c>
      <c r="F82" s="7">
        <f t="shared" si="10"/>
        <v>3.6980365160843576E-4</v>
      </c>
      <c r="G82" s="2">
        <f t="shared" si="9"/>
        <v>0.1239607466668028</v>
      </c>
      <c r="H82" s="2">
        <f>(SystemConstants!$B$6*F82)+(0.5*SystemConstants!$B$7*SystemConstants!$B$5*Data!E82^2)+(0.5*SystemConstants!$B$7*SystemConstants!$B$2*SystemConstants!$B$3*Data!E82^2)</f>
        <v>62.940486282388235</v>
      </c>
      <c r="I82" s="1"/>
      <c r="J82" s="1"/>
      <c r="K82" s="1"/>
    </row>
    <row r="83" spans="1:11" x14ac:dyDescent="0.45">
      <c r="A83" s="2">
        <f t="shared" si="6"/>
        <v>81</v>
      </c>
      <c r="B83" s="2">
        <f t="shared" si="7"/>
        <v>63.499999999999808</v>
      </c>
      <c r="C83" s="2">
        <f>2*Data!B83-80</f>
        <v>46.999999999999616</v>
      </c>
      <c r="D83" s="2">
        <v>0</v>
      </c>
      <c r="E83" s="7">
        <f t="shared" si="8"/>
        <v>0.33209078792941682</v>
      </c>
      <c r="F83" s="7">
        <f t="shared" si="10"/>
        <v>3.651452632453811E-4</v>
      </c>
      <c r="G83" s="2">
        <f t="shared" si="9"/>
        <v>0.12291915604861822</v>
      </c>
      <c r="H83" s="2">
        <f>(SystemConstants!$B$6*F83)+(0.5*SystemConstants!$B$7*SystemConstants!$B$5*Data!E83^2)+(0.5*SystemConstants!$B$7*SystemConstants!$B$2*SystemConstants!$B$3*Data!E83^2)</f>
        <v>63.07911989163955</v>
      </c>
      <c r="I83" s="1"/>
      <c r="J83" s="1"/>
      <c r="K83" s="1"/>
    </row>
    <row r="84" spans="1:11" x14ac:dyDescent="0.45">
      <c r="A84" s="2">
        <f t="shared" si="6"/>
        <v>82</v>
      </c>
      <c r="B84" s="2">
        <f t="shared" si="7"/>
        <v>63.666666666666472</v>
      </c>
      <c r="C84" s="2">
        <f>2*Data!B84-80</f>
        <v>47.333333333332945</v>
      </c>
      <c r="D84" s="2">
        <v>0</v>
      </c>
      <c r="E84" s="7">
        <f t="shared" si="8"/>
        <v>0.33245134771895835</v>
      </c>
      <c r="F84" s="7">
        <f t="shared" si="10"/>
        <v>3.6055978954152579E-4</v>
      </c>
      <c r="G84" s="2">
        <f t="shared" si="9"/>
        <v>0.12188952124056679</v>
      </c>
      <c r="H84" s="2">
        <f>(SystemConstants!$B$6*F84)+(0.5*SystemConstants!$B$7*SystemConstants!$B$5*Data!E84^2)+(0.5*SystemConstants!$B$7*SystemConstants!$B$2*SystemConstants!$B$3*Data!E84^2)</f>
        <v>63.216162222625343</v>
      </c>
      <c r="I84" s="1"/>
      <c r="J84" s="1"/>
      <c r="K84" s="1"/>
    </row>
    <row r="85" spans="1:11" x14ac:dyDescent="0.45">
      <c r="A85" s="2">
        <f t="shared" si="6"/>
        <v>83</v>
      </c>
      <c r="B85" s="2">
        <f t="shared" si="7"/>
        <v>63.833333333333137</v>
      </c>
      <c r="C85" s="2">
        <f>2*Data!B85-80</f>
        <v>47.666666666666273</v>
      </c>
      <c r="D85" s="2">
        <v>0</v>
      </c>
      <c r="E85" s="7">
        <f t="shared" si="8"/>
        <v>0.33280739363864598</v>
      </c>
      <c r="F85" s="7">
        <f t="shared" si="10"/>
        <v>3.5604591968763089E-4</v>
      </c>
      <c r="G85" s="2">
        <f t="shared" si="9"/>
        <v>0.12087168007758985</v>
      </c>
      <c r="H85" s="2">
        <f>(SystemConstants!$B$6*F85)+(0.5*SystemConstants!$B$7*SystemConstants!$B$5*Data!E85^2)+(0.5*SystemConstants!$B$7*SystemConstants!$B$2*SystemConstants!$B$3*Data!E85^2)</f>
        <v>63.351634860309396</v>
      </c>
      <c r="I85" s="1"/>
      <c r="J85" s="1"/>
      <c r="K85" s="1"/>
    </row>
    <row r="86" spans="1:11" x14ac:dyDescent="0.45">
      <c r="A86" s="2">
        <f t="shared" si="6"/>
        <v>84</v>
      </c>
      <c r="B86" s="2">
        <f t="shared" si="7"/>
        <v>63.999999999999801</v>
      </c>
      <c r="C86" s="2">
        <f>2*Data!B86-80</f>
        <v>47.999999999999602</v>
      </c>
      <c r="D86" s="2">
        <v>0</v>
      </c>
      <c r="E86" s="7">
        <f t="shared" si="8"/>
        <v>0.33315899600664522</v>
      </c>
      <c r="F86" s="7">
        <f t="shared" si="10"/>
        <v>3.516023679992486E-4</v>
      </c>
      <c r="G86" s="2">
        <f t="shared" si="9"/>
        <v>0.11986547264480757</v>
      </c>
      <c r="H86" s="2">
        <f>(SystemConstants!$B$6*F86)+(0.5*SystemConstants!$B$7*SystemConstants!$B$5*Data!E86^2)+(0.5*SystemConstants!$B$7*SystemConstants!$B$2*SystemConstants!$B$3*Data!E86^2)</f>
        <v>63.485559087015432</v>
      </c>
      <c r="I86" s="1"/>
      <c r="J86" s="1"/>
      <c r="K86" s="1"/>
    </row>
    <row r="87" spans="1:11" x14ac:dyDescent="0.45">
      <c r="A87" s="2">
        <f t="shared" si="6"/>
        <v>85</v>
      </c>
      <c r="B87" s="2">
        <f t="shared" si="7"/>
        <v>64.166666666666472</v>
      </c>
      <c r="C87" s="2">
        <f>2*Data!B87-80</f>
        <v>48.333333333332945</v>
      </c>
      <c r="D87" s="2">
        <v>0</v>
      </c>
      <c r="E87" s="7">
        <f t="shared" si="8"/>
        <v>0.33350622388034878</v>
      </c>
      <c r="F87" s="7">
        <f t="shared" si="10"/>
        <v>3.4722787370355945E-4</v>
      </c>
      <c r="G87" s="2">
        <f t="shared" si="9"/>
        <v>0.1188707412954064</v>
      </c>
      <c r="H87" s="2">
        <f>(SystemConstants!$B$6*F87)+(0.5*SystemConstants!$B$7*SystemConstants!$B$5*Data!E87^2)+(0.5*SystemConstants!$B$7*SystemConstants!$B$2*SystemConstants!$B$3*Data!E87^2)</f>
        <v>63.617955885709435</v>
      </c>
      <c r="I87" s="1"/>
      <c r="J87" s="1"/>
      <c r="K87" s="1"/>
    </row>
    <row r="88" spans="1:11" x14ac:dyDescent="0.45">
      <c r="A88" s="2">
        <f t="shared" si="6"/>
        <v>86</v>
      </c>
      <c r="B88" s="2">
        <f t="shared" si="7"/>
        <v>64.333333333333144</v>
      </c>
      <c r="C88" s="2">
        <f>2*Data!B88-80</f>
        <v>48.666666666666288</v>
      </c>
      <c r="D88" s="2">
        <v>0</v>
      </c>
      <c r="E88" s="7">
        <f t="shared" si="8"/>
        <v>0.33384914508054919</v>
      </c>
      <c r="F88" s="7">
        <f t="shared" si="10"/>
        <v>3.4292120020040784E-4</v>
      </c>
      <c r="G88" s="2">
        <f t="shared" si="9"/>
        <v>0.11788733060823586</v>
      </c>
      <c r="H88" s="2">
        <f>(SystemConstants!$B$6*F88)+(0.5*SystemConstants!$B$7*SystemConstants!$B$5*Data!E88^2)+(0.5*SystemConstants!$B$7*SystemConstants!$B$2*SystemConstants!$B$3*Data!E88^2)</f>
        <v>63.748845943211485</v>
      </c>
      <c r="I88" s="1"/>
      <c r="J88" s="1"/>
      <c r="K88" s="1"/>
    </row>
    <row r="89" spans="1:11" x14ac:dyDescent="0.45">
      <c r="A89" s="2">
        <f t="shared" si="6"/>
        <v>87</v>
      </c>
      <c r="B89" s="2">
        <f t="shared" si="7"/>
        <v>64.499999999999815</v>
      </c>
      <c r="C89" s="2">
        <f>2*Data!B89-80</f>
        <v>48.999999999999631</v>
      </c>
      <c r="D89" s="2">
        <v>0</v>
      </c>
      <c r="E89" s="7">
        <f t="shared" si="8"/>
        <v>0.3341878262153557</v>
      </c>
      <c r="F89" s="7">
        <f t="shared" si="10"/>
        <v>3.3868113480650663E-4</v>
      </c>
      <c r="G89" s="2">
        <f t="shared" si="9"/>
        <v>0.11691508733787392</v>
      </c>
      <c r="H89" s="2">
        <f>(SystemConstants!$B$6*F89)+(0.5*SystemConstants!$B$7*SystemConstants!$B$5*Data!E89^2)+(0.5*SystemConstants!$B$7*SystemConstants!$B$2*SystemConstants!$B$3*Data!E89^2)</f>
        <v>63.878249653514743</v>
      </c>
      <c r="I89" s="1"/>
      <c r="J89" s="1"/>
      <c r="K89" s="1"/>
    </row>
    <row r="90" spans="1:11" x14ac:dyDescent="0.45">
      <c r="A90" s="2">
        <f t="shared" si="6"/>
        <v>88</v>
      </c>
      <c r="B90" s="2">
        <f t="shared" si="7"/>
        <v>64.666666666666487</v>
      </c>
      <c r="C90" s="2">
        <f>2*Data!B90-80</f>
        <v>49.333333333332973</v>
      </c>
      <c r="D90" s="2">
        <v>0</v>
      </c>
      <c r="E90" s="7">
        <f t="shared" si="8"/>
        <v>0.33452233270357112</v>
      </c>
      <c r="F90" s="7">
        <f t="shared" si="10"/>
        <v>3.3450648821542472E-4</v>
      </c>
      <c r="G90" s="2">
        <f t="shared" si="9"/>
        <v>0.11595386044181433</v>
      </c>
      <c r="H90" s="2">
        <f>(SystemConstants!$B$6*F90)+(0.5*SystemConstants!$B$7*SystemConstants!$B$5*Data!E90^2)+(0.5*SystemConstants!$B$7*SystemConstants!$B$2*SystemConstants!$B$3*Data!E90^2)</f>
        <v>64.006187121095465</v>
      </c>
      <c r="I90" s="1"/>
      <c r="J90" s="1"/>
      <c r="K90" s="1"/>
    </row>
    <row r="91" spans="1:11" x14ac:dyDescent="0.45">
      <c r="A91" s="2">
        <f t="shared" si="6"/>
        <v>89</v>
      </c>
      <c r="B91" s="2">
        <f t="shared" si="7"/>
        <v>64.833333333333158</v>
      </c>
      <c r="C91" s="2">
        <f>2*Data!B91-80</f>
        <v>49.666666666666316</v>
      </c>
      <c r="D91" s="2">
        <v>0</v>
      </c>
      <c r="E91" s="7">
        <f t="shared" si="8"/>
        <v>0.33485272879767081</v>
      </c>
      <c r="F91" s="7">
        <f t="shared" si="10"/>
        <v>3.3039609409968307E-4</v>
      </c>
      <c r="G91" s="2">
        <f t="shared" si="9"/>
        <v>0.11500350101179202</v>
      </c>
      <c r="H91" s="2">
        <f>(SystemConstants!$B$6*F91)+(0.5*SystemConstants!$B$7*SystemConstants!$B$5*Data!E91^2)+(0.5*SystemConstants!$B$7*SystemConstants!$B$2*SystemConstants!$B$3*Data!E91^2)</f>
        <v>64.132678164261677</v>
      </c>
      <c r="I91" s="1"/>
      <c r="J91" s="1"/>
      <c r="K91" s="1"/>
    </row>
    <row r="92" spans="1:11" x14ac:dyDescent="0.45">
      <c r="A92" s="2">
        <f t="shared" si="6"/>
        <v>90</v>
      </c>
      <c r="B92" s="2">
        <f t="shared" si="7"/>
        <v>64.999999999999829</v>
      </c>
      <c r="C92" s="2">
        <f>2*Data!B92-80</f>
        <v>49.999999999999659</v>
      </c>
      <c r="D92" s="2">
        <v>0</v>
      </c>
      <c r="E92" s="7">
        <f t="shared" si="8"/>
        <v>0.33517907760618471</v>
      </c>
      <c r="F92" s="7">
        <f t="shared" si="10"/>
        <v>3.263488085138988E-4</v>
      </c>
      <c r="G92" s="2">
        <f t="shared" si="9"/>
        <v>0.11406386227658213</v>
      </c>
      <c r="H92" s="2">
        <f>(SystemConstants!$B$6*F92)+(0.5*SystemConstants!$B$7*SystemConstants!$B$5*Data!E92^2)+(0.5*SystemConstants!$B$7*SystemConstants!$B$2*SystemConstants!$B$3*Data!E92^2)</f>
        <v>64.257742318457801</v>
      </c>
      <c r="I92" s="1"/>
      <c r="J92" s="1"/>
      <c r="K92" s="1"/>
    </row>
    <row r="93" spans="1:11" x14ac:dyDescent="0.45">
      <c r="A93" s="2">
        <f t="shared" si="6"/>
        <v>91</v>
      </c>
      <c r="B93" s="2">
        <f t="shared" si="7"/>
        <v>65.166666666666501</v>
      </c>
      <c r="C93" s="2">
        <f>2*Data!B93-80</f>
        <v>50.333333333333002</v>
      </c>
      <c r="D93" s="2">
        <v>0</v>
      </c>
      <c r="E93" s="7">
        <f t="shared" si="8"/>
        <v>0.33550144111598001</v>
      </c>
      <c r="F93" s="7">
        <f t="shared" si="10"/>
        <v>3.2236350979530926E-4</v>
      </c>
      <c r="G93" s="2">
        <f t="shared" si="9"/>
        <v>0.11313479955794288</v>
      </c>
      <c r="H93" s="2">
        <f>(SystemConstants!$B$6*F93)+(0.5*SystemConstants!$B$7*SystemConstants!$B$5*Data!E93^2)+(0.5*SystemConstants!$B$7*SystemConstants!$B$2*SystemConstants!$B$3*Data!E93^2)</f>
        <v>64.381398839709576</v>
      </c>
      <c r="I93" s="1"/>
      <c r="J93" s="1"/>
      <c r="K93" s="1"/>
    </row>
    <row r="94" spans="1:11" x14ac:dyDescent="0.45">
      <c r="A94" s="2">
        <f t="shared" si="6"/>
        <v>92</v>
      </c>
      <c r="B94" s="2">
        <f t="shared" si="7"/>
        <v>65.333333333333172</v>
      </c>
      <c r="C94" s="2">
        <f>2*Data!B94-80</f>
        <v>50.666666666666345</v>
      </c>
      <c r="D94" s="2">
        <v>0</v>
      </c>
      <c r="E94" s="7">
        <f t="shared" si="8"/>
        <v>0.33581988021371956</v>
      </c>
      <c r="F94" s="7">
        <f t="shared" si="10"/>
        <v>3.1843909773954238E-4</v>
      </c>
      <c r="G94" s="2">
        <f t="shared" si="9"/>
        <v>0.1122161702389245</v>
      </c>
      <c r="H94" s="2">
        <f>(SystemConstants!$B$6*F94)+(0.5*SystemConstants!$B$7*SystemConstants!$B$5*Data!E94^2)+(0.5*SystemConstants!$B$7*SystemConstants!$B$2*SystemConstants!$B$3*Data!E94^2)</f>
        <v>64.50366670792458</v>
      </c>
      <c r="I94" s="1"/>
      <c r="J94" s="1"/>
      <c r="K94" s="1"/>
    </row>
    <row r="95" spans="1:11" x14ac:dyDescent="0.45">
      <c r="A95" s="2">
        <f t="shared" si="6"/>
        <v>93</v>
      </c>
      <c r="B95" s="2">
        <f t="shared" si="7"/>
        <v>65.499999999999844</v>
      </c>
      <c r="C95" s="2">
        <f>2*Data!B95-80</f>
        <v>50.999999999999687</v>
      </c>
      <c r="D95" s="2">
        <v>0</v>
      </c>
      <c r="E95" s="7">
        <f t="shared" si="8"/>
        <v>0.33613445470719228</v>
      </c>
      <c r="F95" s="7">
        <f t="shared" si="10"/>
        <v>3.1457449347271904E-4</v>
      </c>
      <c r="G95" s="2">
        <f t="shared" si="9"/>
        <v>0.11130783376846201</v>
      </c>
      <c r="H95" s="2">
        <f>(SystemConstants!$B$6*F95)+(0.5*SystemConstants!$B$7*SystemConstants!$B$5*Data!E95^2)+(0.5*SystemConstants!$B$7*SystemConstants!$B$2*SystemConstants!$B$3*Data!E95^2)</f>
        <v>64.624564630310488</v>
      </c>
      <c r="I95" s="1"/>
      <c r="J95" s="1"/>
      <c r="K95" s="1"/>
    </row>
    <row r="96" spans="1:11" x14ac:dyDescent="0.45">
      <c r="A96" s="2">
        <f t="shared" si="6"/>
        <v>94</v>
      </c>
      <c r="B96" s="2">
        <f t="shared" si="7"/>
        <v>65.666666666666515</v>
      </c>
      <c r="C96" s="2">
        <f>2*Data!B96-80</f>
        <v>51.33333333333303</v>
      </c>
      <c r="D96" s="2">
        <v>0</v>
      </c>
      <c r="E96" s="7">
        <f t="shared" si="8"/>
        <v>0.33644522334610372</v>
      </c>
      <c r="F96" s="7">
        <f t="shared" si="10"/>
        <v>3.1076863891144058E-4</v>
      </c>
      <c r="G96" s="2">
        <f t="shared" si="9"/>
        <v>0.11040965162831015</v>
      </c>
      <c r="H96" s="2">
        <f>(SystemConstants!$B$6*F96)+(0.5*SystemConstants!$B$7*SystemConstants!$B$5*Data!E96^2)+(0.5*SystemConstants!$B$7*SystemConstants!$B$2*SystemConstants!$B$3*Data!E96^2)</f>
        <v>64.744111044746276</v>
      </c>
      <c r="I96" s="1"/>
      <c r="J96" s="1"/>
      <c r="K96" s="1"/>
    </row>
    <row r="97" spans="1:11" x14ac:dyDescent="0.45">
      <c r="A97" s="2">
        <f t="shared" si="6"/>
        <v>95</v>
      </c>
      <c r="B97" s="2">
        <f t="shared" si="7"/>
        <v>65.833333333333186</v>
      </c>
      <c r="C97" s="2">
        <f>2*Data!B97-80</f>
        <v>51.666666666666373</v>
      </c>
      <c r="D97" s="2">
        <v>0</v>
      </c>
      <c r="E97" s="7">
        <f t="shared" si="8"/>
        <v>0.33675224384253966</v>
      </c>
      <c r="F97" s="7">
        <f t="shared" si="10"/>
        <v>3.0702049643593909E-4</v>
      </c>
      <c r="G97" s="2">
        <f t="shared" si="9"/>
        <v>0.10952148727383416</v>
      </c>
      <c r="H97" s="2">
        <f>(SystemConstants!$B$6*F97)+(0.5*SystemConstants!$B$7*SystemConstants!$B$5*Data!E97^2)+(0.5*SystemConstants!$B$7*SystemConstants!$B$2*SystemConstants!$B$3*Data!E97^2)</f>
        <v>64.86232412318337</v>
      </c>
      <c r="I97" s="1"/>
      <c r="J97" s="1"/>
      <c r="K97" s="1"/>
    </row>
    <row r="98" spans="1:11" x14ac:dyDescent="0.45">
      <c r="A98" s="2">
        <f t="shared" si="6"/>
        <v>96</v>
      </c>
      <c r="B98" s="2">
        <f t="shared" si="7"/>
        <v>65.999999999999858</v>
      </c>
      <c r="C98" s="2">
        <f>2*Data!B98-80</f>
        <v>51.999999999999716</v>
      </c>
      <c r="D98" s="2">
        <v>0</v>
      </c>
      <c r="E98" s="7">
        <f t="shared" si="8"/>
        <v>0.33705557289090393</v>
      </c>
      <c r="F98" s="7">
        <f t="shared" si="10"/>
        <v>3.0332904836427588E-4</v>
      </c>
      <c r="G98" s="2">
        <f t="shared" si="9"/>
        <v>0.10864320615110848</v>
      </c>
      <c r="H98" s="2">
        <f>(SystemConstants!$B$6*F98)+(0.5*SystemConstants!$B$7*SystemConstants!$B$5*Data!E98^2)+(0.5*SystemConstants!$B$7*SystemConstants!$B$2*SystemConstants!$B$3*Data!E98^2)</f>
        <v>64.979221774994215</v>
      </c>
      <c r="I98" s="1"/>
      <c r="J98" s="1"/>
      <c r="K98" s="1"/>
    </row>
    <row r="99" spans="1:11" x14ac:dyDescent="0.45">
      <c r="A99" s="2">
        <f t="shared" si="6"/>
        <v>97</v>
      </c>
      <c r="B99" s="2">
        <f t="shared" si="7"/>
        <v>66.166666666666529</v>
      </c>
      <c r="C99" s="2">
        <f>2*Data!B99-80</f>
        <v>52.333333333333059</v>
      </c>
      <c r="D99" s="2">
        <v>0</v>
      </c>
      <c r="E99" s="7">
        <f t="shared" si="8"/>
        <v>0.33735526618764311</v>
      </c>
      <c r="F99" s="7">
        <f t="shared" si="10"/>
        <v>2.9969329673917855E-4</v>
      </c>
      <c r="G99" s="2">
        <f t="shared" si="9"/>
        <v>0.10777467563604086</v>
      </c>
      <c r="H99" s="2">
        <f>(SystemConstants!$B$6*F99)+(0.5*SystemConstants!$B$7*SystemConstants!$B$5*Data!E99^2)+(0.5*SystemConstants!$B$7*SystemConstants!$B$2*SystemConstants!$B$3*Data!E99^2)</f>
        <v>65.094821650384205</v>
      </c>
      <c r="I99" s="1"/>
      <c r="J99" s="1"/>
      <c r="K99" s="1"/>
    </row>
    <row r="100" spans="1:11" x14ac:dyDescent="0.45">
      <c r="A100" s="2">
        <f t="shared" si="6"/>
        <v>98</v>
      </c>
      <c r="B100" s="2">
        <f t="shared" si="7"/>
        <v>66.333333333333201</v>
      </c>
      <c r="C100" s="2">
        <f>2*Data!B100-80</f>
        <v>52.666666666666401</v>
      </c>
      <c r="D100" s="2">
        <v>0</v>
      </c>
      <c r="E100" s="7">
        <f t="shared" si="8"/>
        <v>0.33765137845034587</v>
      </c>
      <c r="F100" s="7">
        <f t="shared" si="10"/>
        <v>2.9611226270276347E-4</v>
      </c>
      <c r="G100" s="2">
        <f t="shared" si="9"/>
        <v>0.10691576505131847</v>
      </c>
      <c r="H100" s="2">
        <f>(SystemConstants!$B$6*F100)+(0.5*SystemConstants!$B$7*SystemConstants!$B$5*Data!E100^2)+(0.5*SystemConstants!$B$7*SystemConstants!$B$2*SystemConstants!$B$3*Data!E100^2)</f>
        <v>65.209141143702269</v>
      </c>
      <c r="I100" s="1"/>
      <c r="J100" s="1"/>
      <c r="K100" s="1"/>
    </row>
    <row r="101" spans="1:11" x14ac:dyDescent="0.45">
      <c r="A101" s="2">
        <f t="shared" si="6"/>
        <v>99</v>
      </c>
      <c r="B101" s="2">
        <f t="shared" si="7"/>
        <v>66.499999999999872</v>
      </c>
      <c r="C101" s="2">
        <f>2*Data!B101-80</f>
        <v>52.999999999999744</v>
      </c>
      <c r="D101" s="2">
        <v>0</v>
      </c>
      <c r="E101" s="7">
        <f t="shared" si="8"/>
        <v>0.33794396343677136</v>
      </c>
      <c r="F101" s="7">
        <f t="shared" si="10"/>
        <v>2.9258498642548147E-4</v>
      </c>
      <c r="G101" s="2">
        <f t="shared" si="9"/>
        <v>0.10606634559749152</v>
      </c>
      <c r="H101" s="2">
        <f>(SystemConstants!$B$6*F101)+(0.5*SystemConstants!$B$7*SystemConstants!$B$5*Data!E101^2)+(0.5*SystemConstants!$B$7*SystemConstants!$B$2*SystemConstants!$B$3*Data!E101^2)</f>
        <v>65.32219739686002</v>
      </c>
      <c r="I101" s="1"/>
      <c r="J101" s="1"/>
      <c r="K101" s="1"/>
    </row>
    <row r="102" spans="1:11" x14ac:dyDescent="0.45">
      <c r="A102" s="2">
        <f t="shared" si="6"/>
        <v>100</v>
      </c>
      <c r="B102" s="2">
        <f t="shared" si="7"/>
        <v>66.666666666666544</v>
      </c>
      <c r="C102" s="2">
        <f>2*Data!B102-80</f>
        <v>53.333333333333087</v>
      </c>
      <c r="D102" s="2">
        <v>0</v>
      </c>
      <c r="E102" s="7">
        <f t="shared" si="8"/>
        <v>0.3382330739632522</v>
      </c>
      <c r="F102" s="7">
        <f t="shared" si="10"/>
        <v>2.8911052648084024E-4</v>
      </c>
      <c r="G102" s="2">
        <f t="shared" si="9"/>
        <v>0.10522629035254077</v>
      </c>
      <c r="H102" s="2">
        <f>(SystemConstants!$B$6*F102)+(0.5*SystemConstants!$B$7*SystemConstants!$B$5*Data!E102^2)+(0.5*SystemConstants!$B$7*SystemConstants!$B$2*SystemConstants!$B$3*Data!E102^2)</f>
        <v>65.434007302640026</v>
      </c>
      <c r="I102" s="1"/>
      <c r="J102" s="1"/>
      <c r="K102" s="1"/>
    </row>
    <row r="103" spans="1:11" x14ac:dyDescent="0.45">
      <c r="A103" s="2">
        <f t="shared" si="6"/>
        <v>101</v>
      </c>
      <c r="B103" s="2">
        <f t="shared" si="7"/>
        <v>66.833333333333215</v>
      </c>
      <c r="C103" s="2">
        <f>2*Data!B103-80</f>
        <v>53.66666666666643</v>
      </c>
      <c r="D103" s="2">
        <v>0</v>
      </c>
      <c r="E103" s="7">
        <f t="shared" si="8"/>
        <v>0.33851876192278496</v>
      </c>
      <c r="F103" s="7">
        <f t="shared" si="10"/>
        <v>2.8568795953276549E-4</v>
      </c>
      <c r="G103" s="2">
        <f t="shared" si="9"/>
        <v>0.10439547423602635</v>
      </c>
      <c r="H103" s="2">
        <f>(SystemConstants!$B$6*F103)+(0.5*SystemConstants!$B$7*SystemConstants!$B$5*Data!E103^2)+(0.5*SystemConstants!$B$7*SystemConstants!$B$2*SystemConstants!$B$3*Data!E103^2)</f>
        <v>65.544587508009968</v>
      </c>
      <c r="I103" s="1"/>
      <c r="J103" s="1"/>
      <c r="K103" s="1"/>
    </row>
    <row r="104" spans="1:11" x14ac:dyDescent="0.45">
      <c r="A104" s="2">
        <f t="shared" si="6"/>
        <v>102</v>
      </c>
      <c r="B104" s="2">
        <f t="shared" si="7"/>
        <v>66.999999999999886</v>
      </c>
      <c r="C104" s="2">
        <f>2*Data!B104-80</f>
        <v>53.999999999999773</v>
      </c>
      <c r="D104" s="2">
        <v>0</v>
      </c>
      <c r="E104" s="7">
        <f t="shared" si="8"/>
        <v>0.33880107830289319</v>
      </c>
      <c r="F104" s="7">
        <f t="shared" si="10"/>
        <v>2.8231638010822735E-4</v>
      </c>
      <c r="G104" s="2">
        <f t="shared" si="9"/>
        <v>0.10357377399902438</v>
      </c>
      <c r="H104" s="2">
        <f>(SystemConstants!$B$6*F104)+(0.5*SystemConstants!$B$7*SystemConstants!$B$5*Data!E104^2)+(0.5*SystemConstants!$B$7*SystemConstants!$B$2*SystemConstants!$B$3*Data!E104^2)</f>
        <v>65.65395441747124</v>
      </c>
      <c r="I104" s="1"/>
      <c r="J104" s="1"/>
      <c r="K104" s="1"/>
    </row>
    <row r="105" spans="1:11" x14ac:dyDescent="0.45">
      <c r="A105" s="2">
        <f t="shared" si="6"/>
        <v>103</v>
      </c>
      <c r="B105" s="2">
        <f t="shared" si="7"/>
        <v>67.166666666666558</v>
      </c>
      <c r="C105" s="2">
        <f>2*Data!B105-80</f>
        <v>54.333333333333115</v>
      </c>
      <c r="D105" s="2">
        <v>0</v>
      </c>
      <c r="E105" s="7">
        <f t="shared" si="8"/>
        <v>0.33908007320295042</v>
      </c>
      <c r="F105" s="7">
        <f t="shared" si="10"/>
        <v>2.7899490005722782E-4</v>
      </c>
      <c r="G105" s="2">
        <f t="shared" si="9"/>
        <v>0.10276106818477727</v>
      </c>
      <c r="H105" s="2">
        <f>(SystemConstants!$B$6*F105)+(0.5*SystemConstants!$B$7*SystemConstants!$B$5*Data!E105^2)+(0.5*SystemConstants!$B$7*SystemConstants!$B$2*SystemConstants!$B$3*Data!E105^2)</f>
        <v>65.762124196316563</v>
      </c>
      <c r="I105" s="1"/>
      <c r="J105" s="1"/>
      <c r="K105" s="1"/>
    </row>
    <row r="106" spans="1:11" x14ac:dyDescent="0.45">
      <c r="A106" s="2">
        <f t="shared" si="6"/>
        <v>104</v>
      </c>
      <c r="B106" s="2">
        <f t="shared" si="7"/>
        <v>67.333333333333229</v>
      </c>
      <c r="C106" s="2">
        <f>2*Data!B106-80</f>
        <v>54.666666666666458</v>
      </c>
      <c r="D106" s="2">
        <v>0</v>
      </c>
      <c r="E106" s="7">
        <f t="shared" si="8"/>
        <v>0.3393557958513469</v>
      </c>
      <c r="F106" s="7">
        <f t="shared" si="10"/>
        <v>2.7572264839648142E-4</v>
      </c>
      <c r="G106" s="2">
        <f t="shared" si="9"/>
        <v>0.10195723710868154</v>
      </c>
      <c r="H106" s="2">
        <f>(SystemConstants!$B$6*F106)+(0.5*SystemConstants!$B$7*SystemConstants!$B$5*Data!E106^2)+(0.5*SystemConstants!$B$7*SystemConstants!$B$2*SystemConstants!$B$3*Data!E106^2)</f>
        <v>65.869112773941566</v>
      </c>
      <c r="I106" s="1"/>
      <c r="J106" s="1"/>
      <c r="K106" s="1"/>
    </row>
    <row r="107" spans="1:11" x14ac:dyDescent="0.45">
      <c r="A107" s="2">
        <f t="shared" si="6"/>
        <v>105</v>
      </c>
      <c r="B107" s="2">
        <f t="shared" si="7"/>
        <v>67.499999999999901</v>
      </c>
      <c r="C107" s="2">
        <f>2*Data!B107-80</f>
        <v>54.999999999999801</v>
      </c>
      <c r="D107" s="2">
        <v>0</v>
      </c>
      <c r="E107" s="7">
        <f t="shared" si="8"/>
        <v>0.33962829462207367</v>
      </c>
      <c r="F107" s="7">
        <f t="shared" si="10"/>
        <v>2.7249877072677009E-4</v>
      </c>
      <c r="G107" s="2">
        <f t="shared" si="9"/>
        <v>0.10116216283335241</v>
      </c>
      <c r="H107" s="2">
        <f>(SystemConstants!$B$6*F107)+(0.5*SystemConstants!$B$7*SystemConstants!$B$5*Data!E107^2)+(0.5*SystemConstants!$B$7*SystemConstants!$B$2*SystemConstants!$B$3*Data!E107^2)</f>
        <v>65.974935847040655</v>
      </c>
      <c r="I107" s="1"/>
      <c r="J107" s="1"/>
      <c r="K107" s="1"/>
    </row>
    <row r="108" spans="1:11" x14ac:dyDescent="0.45">
      <c r="A108" s="2">
        <f t="shared" si="6"/>
        <v>106</v>
      </c>
      <c r="B108" s="2">
        <f t="shared" si="7"/>
        <v>67.666666666666572</v>
      </c>
      <c r="C108" s="2">
        <f>2*Data!B108-80</f>
        <v>55.333333333333144</v>
      </c>
      <c r="D108" s="2">
        <v>0</v>
      </c>
      <c r="E108" s="7">
        <f t="shared" si="8"/>
        <v>0.33989761705133503</v>
      </c>
      <c r="F108" s="7">
        <f t="shared" si="10"/>
        <v>2.6932242926136496E-4</v>
      </c>
      <c r="G108" s="2">
        <f t="shared" si="9"/>
        <v>0.10037572915340792</v>
      </c>
      <c r="H108" s="2">
        <f>(SystemConstants!$B$6*F108)+(0.5*SystemConstants!$B$7*SystemConstants!$B$5*Data!E108^2)+(0.5*SystemConstants!$B$7*SystemConstants!$B$2*SystemConstants!$B$3*Data!E108^2)</f>
        <v>66.079608882921235</v>
      </c>
      <c r="I108" s="1"/>
      <c r="J108" s="1"/>
      <c r="K108" s="1"/>
    </row>
    <row r="109" spans="1:11" x14ac:dyDescent="0.45">
      <c r="A109" s="2">
        <f t="shared" si="6"/>
        <v>107</v>
      </c>
      <c r="B109" s="2">
        <f t="shared" si="7"/>
        <v>67.833333333333243</v>
      </c>
      <c r="C109" s="2">
        <f>2*Data!B109-80</f>
        <v>55.666666666666487</v>
      </c>
      <c r="D109" s="2">
        <v>0</v>
      </c>
      <c r="E109" s="7">
        <f t="shared" si="8"/>
        <v>0.34016380985333683</v>
      </c>
      <c r="F109" s="7">
        <f t="shared" si="10"/>
        <v>2.6619280200179674E-4</v>
      </c>
      <c r="G109" s="2">
        <f t="shared" si="9"/>
        <v>9.9597821553880028E-2</v>
      </c>
      <c r="H109" s="2">
        <f>(SystemConstants!$B$6*F109)+(0.5*SystemConstants!$B$7*SystemConstants!$B$5*Data!E109^2)+(0.5*SystemConstants!$B$7*SystemConstants!$B$2*SystemConstants!$B$3*Data!E109^2)</f>
        <v>66.183147122600332</v>
      </c>
      <c r="I109" s="1"/>
      <c r="J109" s="1"/>
      <c r="K109" s="1"/>
    </row>
    <row r="110" spans="1:11" x14ac:dyDescent="0.45">
      <c r="A110" s="2">
        <f t="shared" si="6"/>
        <v>108</v>
      </c>
      <c r="B110" s="2">
        <f t="shared" si="7"/>
        <v>67.999999999999915</v>
      </c>
      <c r="C110" s="2">
        <f>2*Data!B110-80</f>
        <v>55.999999999999829</v>
      </c>
      <c r="D110" s="2">
        <v>0</v>
      </c>
      <c r="E110" s="7">
        <f t="shared" si="8"/>
        <v>0.34042691893633048</v>
      </c>
      <c r="F110" s="7">
        <f t="shared" si="10"/>
        <v>2.631090829936511E-4</v>
      </c>
      <c r="G110" s="2">
        <f t="shared" si="9"/>
        <v>9.8828327188764983E-2</v>
      </c>
      <c r="H110" s="2">
        <f>(SystemConstants!$B$6*F110)+(0.5*SystemConstants!$B$7*SystemConstants!$B$5*Data!E110^2)+(0.5*SystemConstants!$B$7*SystemConstants!$B$2*SystemConstants!$B$3*Data!E110^2)</f>
        <v>66.285565584101448</v>
      </c>
      <c r="I110" s="1"/>
      <c r="J110" s="1"/>
      <c r="K110" s="1"/>
    </row>
    <row r="111" spans="1:11" x14ac:dyDescent="0.45">
      <c r="A111" s="2">
        <f t="shared" si="6"/>
        <v>109</v>
      </c>
      <c r="B111" s="2">
        <f t="shared" si="7"/>
        <v>68.166666666666586</v>
      </c>
      <c r="C111" s="2">
        <f>2*Data!B111-80</f>
        <v>56.333333333333172</v>
      </c>
      <c r="D111" s="2">
        <v>0</v>
      </c>
      <c r="E111" s="7">
        <f t="shared" si="8"/>
        <v>0.3406869894178044</v>
      </c>
      <c r="F111" s="7">
        <f t="shared" si="10"/>
        <v>2.6007048147391743E-4</v>
      </c>
      <c r="G111" s="2">
        <f t="shared" si="9"/>
        <v>9.8067134896150002E-2</v>
      </c>
      <c r="H111" s="2">
        <f>(SystemConstants!$B$6*F111)+(0.5*SystemConstants!$B$7*SystemConstants!$B$5*Data!E111^2)+(0.5*SystemConstants!$B$7*SystemConstants!$B$2*SystemConstants!$B$3*Data!E111^2)</f>
        <v>66.386879065515345</v>
      </c>
      <c r="I111" s="1"/>
      <c r="J111" s="1"/>
      <c r="K111" s="1"/>
    </row>
    <row r="112" spans="1:11" x14ac:dyDescent="0.45">
      <c r="A112" s="2">
        <f t="shared" si="6"/>
        <v>110</v>
      </c>
      <c r="B112" s="2">
        <f t="shared" si="7"/>
        <v>68.333333333333258</v>
      </c>
      <c r="C112" s="2">
        <f>2*Data!B112-80</f>
        <v>56.666666666666515</v>
      </c>
      <c r="D112" s="2">
        <v>0</v>
      </c>
      <c r="E112" s="7">
        <f t="shared" si="8"/>
        <v>0.34094406563976065</v>
      </c>
      <c r="F112" s="7">
        <f t="shared" si="10"/>
        <v>2.570762219562539E-4</v>
      </c>
      <c r="G112" s="2">
        <f t="shared" si="9"/>
        <v>9.7314135101740695E-2</v>
      </c>
      <c r="H112" s="2">
        <f>(SystemConstants!$B$6*F112)+(0.5*SystemConstants!$B$7*SystemConstants!$B$5*Data!E112^2)+(0.5*SystemConstants!$B$7*SystemConstants!$B$2*SystemConstants!$B$3*Data!E112^2)</f>
        <v>66.487102148188143</v>
      </c>
      <c r="I112" s="1"/>
      <c r="J112" s="1"/>
      <c r="K112" s="1"/>
    </row>
    <row r="113" spans="1:11" x14ac:dyDescent="0.45">
      <c r="A113" s="2">
        <f t="shared" si="6"/>
        <v>111</v>
      </c>
      <c r="B113" s="2">
        <f t="shared" si="7"/>
        <v>68.499999999999929</v>
      </c>
      <c r="C113" s="2">
        <f>2*Data!B113-80</f>
        <v>56.999999999999858</v>
      </c>
      <c r="D113" s="2">
        <v>0</v>
      </c>
      <c r="E113" s="7">
        <f t="shared" si="8"/>
        <v>0.34119819118343742</v>
      </c>
      <c r="F113" s="7">
        <f t="shared" si="10"/>
        <v>2.5412554367676421E-4</v>
      </c>
      <c r="G113" s="2">
        <f t="shared" si="9"/>
        <v>9.6569219861913053E-2</v>
      </c>
      <c r="H113" s="2">
        <f>(SystemConstants!$B$6*F113)+(0.5*SystemConstants!$B$7*SystemConstants!$B$5*Data!E113^2)+(0.5*SystemConstants!$B$7*SystemConstants!$B$2*SystemConstants!$B$3*Data!E113^2)</f>
        <v>66.586249199783254</v>
      </c>
      <c r="I113" s="1"/>
      <c r="J113" s="1"/>
      <c r="K113" s="1"/>
    </row>
    <row r="114" spans="1:11" x14ac:dyDescent="0.45">
      <c r="A114" s="2">
        <f t="shared" si="6"/>
        <v>112</v>
      </c>
      <c r="B114" s="2">
        <f t="shared" si="7"/>
        <v>68.6666666666666</v>
      </c>
      <c r="C114" s="2">
        <f>2*Data!B114-80</f>
        <v>57.333333333333201</v>
      </c>
      <c r="D114" s="2">
        <v>0</v>
      </c>
      <c r="E114" s="7">
        <f t="shared" si="8"/>
        <v>0.34144940888391773</v>
      </c>
      <c r="F114" s="7">
        <f t="shared" si="10"/>
        <v>2.5121770048031067E-4</v>
      </c>
      <c r="G114" s="2">
        <f t="shared" si="9"/>
        <v>9.583228281014021E-2</v>
      </c>
      <c r="H114" s="2">
        <f>(SystemConstants!$B$6*F114)+(0.5*SystemConstants!$B$7*SystemConstants!$B$5*Data!E114^2)+(0.5*SystemConstants!$B$7*SystemConstants!$B$2*SystemConstants!$B$3*Data!E114^2)</f>
        <v>66.684334377386676</v>
      </c>
      <c r="I114" s="1"/>
      <c r="J114" s="1"/>
      <c r="K114" s="1"/>
    </row>
    <row r="115" spans="1:11" x14ac:dyDescent="0.45">
      <c r="A115" s="2">
        <f t="shared" si="6"/>
        <v>113</v>
      </c>
      <c r="B115" s="2">
        <f t="shared" si="7"/>
        <v>68.833333333333272</v>
      </c>
      <c r="C115" s="2">
        <f>2*Data!B115-80</f>
        <v>57.666666666666544</v>
      </c>
      <c r="D115" s="2">
        <v>0</v>
      </c>
      <c r="E115" s="7">
        <f t="shared" si="8"/>
        <v>0.34169776084428349</v>
      </c>
      <c r="F115" s="7">
        <f t="shared" si="10"/>
        <v>2.483519603657669E-4</v>
      </c>
      <c r="G115" s="2">
        <f t="shared" si="9"/>
        <v>9.5103219136280628E-2</v>
      </c>
      <c r="H115" s="2">
        <f>(SystemConstants!$B$6*F115)+(0.5*SystemConstants!$B$7*SystemConstants!$B$5*Data!E115^2)+(0.5*SystemConstants!$B$7*SystemConstants!$B$2*SystemConstants!$B$3*Data!E115^2)</f>
        <v>66.781371630518933</v>
      </c>
      <c r="I115" s="1"/>
      <c r="J115" s="1"/>
      <c r="K115" s="1"/>
    </row>
    <row r="116" spans="1:11" x14ac:dyDescent="0.45">
      <c r="A116" s="2">
        <f t="shared" si="6"/>
        <v>114</v>
      </c>
      <c r="B116" s="2">
        <f t="shared" si="7"/>
        <v>68.999999999999943</v>
      </c>
      <c r="C116" s="2">
        <f>2*Data!B116-80</f>
        <v>57.999999999999886</v>
      </c>
      <c r="D116" s="2">
        <v>0</v>
      </c>
      <c r="E116" s="7">
        <f t="shared" si="8"/>
        <v>0.3419432884496274</v>
      </c>
      <c r="F116" s="7">
        <f t="shared" si="10"/>
        <v>2.4552760534390927E-4</v>
      </c>
      <c r="G116" s="2">
        <f t="shared" si="9"/>
        <v>9.4381925565344749E-2</v>
      </c>
      <c r="H116" s="2">
        <f>(SystemConstants!$B$6*F116)+(0.5*SystemConstants!$B$7*SystemConstants!$B$5*Data!E116^2)+(0.5*SystemConstants!$B$7*SystemConstants!$B$2*SystemConstants!$B$3*Data!E116^2)</f>
        <v>66.877374704173491</v>
      </c>
      <c r="I116" s="1"/>
      <c r="J116" s="1"/>
      <c r="K116" s="1"/>
    </row>
    <row r="117" spans="1:11" x14ac:dyDescent="0.45">
      <c r="A117" s="2">
        <f t="shared" si="6"/>
        <v>115</v>
      </c>
      <c r="B117" s="2">
        <f t="shared" si="7"/>
        <v>69.166666666666615</v>
      </c>
      <c r="C117" s="2">
        <f>2*Data!B117-80</f>
        <v>58.333333333333229</v>
      </c>
      <c r="D117" s="2">
        <v>0</v>
      </c>
      <c r="E117" s="7">
        <f t="shared" si="8"/>
        <v>0.3421860323806527</v>
      </c>
      <c r="F117" s="7">
        <f t="shared" si="10"/>
        <v>2.4274393102530212E-4</v>
      </c>
      <c r="G117" s="2">
        <f t="shared" si="9"/>
        <v>9.3668300340141869E-2</v>
      </c>
      <c r="H117" s="2">
        <f>(SystemConstants!$B$6*F117)+(0.5*SystemConstants!$B$7*SystemConstants!$B$5*Data!E117^2)+(0.5*SystemConstants!$B$7*SystemConstants!$B$2*SystemConstants!$B$3*Data!E117^2)</f>
        <v>66.972357141772846</v>
      </c>
      <c r="I117" s="1"/>
      <c r="J117" s="1"/>
      <c r="K117" s="1"/>
    </row>
    <row r="118" spans="1:11" x14ac:dyDescent="0.45">
      <c r="A118" s="2">
        <f t="shared" si="6"/>
        <v>116</v>
      </c>
      <c r="B118" s="2">
        <f t="shared" si="7"/>
        <v>69.333333333333286</v>
      </c>
      <c r="C118" s="2">
        <f>2*Data!B118-80</f>
        <v>58.666666666666572</v>
      </c>
      <c r="D118" s="2">
        <v>0</v>
      </c>
      <c r="E118" s="7">
        <f t="shared" si="8"/>
        <v>0.34242603262711668</v>
      </c>
      <c r="F118" s="7">
        <f t="shared" si="10"/>
        <v>2.4000024646397833E-4</v>
      </c>
      <c r="G118" s="2">
        <f t="shared" si="9"/>
        <v>9.2962243227374092E-2</v>
      </c>
      <c r="H118" s="2">
        <f>(SystemConstants!$B$6*F118)+(0.5*SystemConstants!$B$7*SystemConstants!$B$5*Data!E118^2)+(0.5*SystemConstants!$B$7*SystemConstants!$B$2*SystemConstants!$B$3*Data!E118^2)</f>
        <v>67.066332288140131</v>
      </c>
      <c r="I118" s="1"/>
      <c r="J118" s="1"/>
      <c r="K118" s="1"/>
    </row>
    <row r="119" spans="1:11" x14ac:dyDescent="0.45">
      <c r="A119" s="2">
        <f t="shared" si="6"/>
        <v>117</v>
      </c>
      <c r="B119" s="2">
        <f t="shared" si="7"/>
        <v>69.499999999999957</v>
      </c>
      <c r="C119" s="2">
        <f>2*Data!B119-80</f>
        <v>58.999999999999915</v>
      </c>
      <c r="D119" s="2">
        <v>0</v>
      </c>
      <c r="E119" s="7">
        <f t="shared" si="8"/>
        <v>0.34266332850089043</v>
      </c>
      <c r="F119" s="7">
        <f t="shared" si="10"/>
        <v>2.3729587377374628E-4</v>
      </c>
      <c r="G119" s="2">
        <f t="shared" si="9"/>
        <v>9.22636553789387E-2</v>
      </c>
      <c r="H119" s="2">
        <f>(SystemConstants!$B$6*F119)+(0.5*SystemConstants!$B$7*SystemConstants!$B$5*Data!E119^2)+(0.5*SystemConstants!$B$7*SystemConstants!$B$2*SystemConstants!$B$3*Data!E119^2)</f>
        <v>67.159313292394131</v>
      </c>
      <c r="I119" s="1"/>
      <c r="J119" s="1"/>
      <c r="K119" s="1"/>
    </row>
    <row r="120" spans="1:11" x14ac:dyDescent="0.45">
      <c r="A120" s="2">
        <f t="shared" si="6"/>
        <v>118</v>
      </c>
      <c r="B120" s="2">
        <f t="shared" si="7"/>
        <v>69.666666666666629</v>
      </c>
      <c r="C120" s="2">
        <f>2*Data!B120-80</f>
        <v>59.333333333333258</v>
      </c>
      <c r="D120" s="2">
        <v>0</v>
      </c>
      <c r="E120" s="7">
        <f t="shared" si="8"/>
        <v>0.34289795864894757</v>
      </c>
      <c r="F120" s="7">
        <f t="shared" si="10"/>
        <v>2.3463014805713556E-4</v>
      </c>
      <c r="G120" s="2">
        <f t="shared" si="9"/>
        <v>9.1572439474404257E-2</v>
      </c>
      <c r="H120" s="2">
        <f>(SystemConstants!$B$6*F120)+(0.5*SystemConstants!$B$7*SystemConstants!$B$5*Data!E120^2)+(0.5*SystemConstants!$B$7*SystemConstants!$B$2*SystemConstants!$B$3*Data!E120^2)</f>
        <v>67.251313110888447</v>
      </c>
      <c r="I120" s="1"/>
      <c r="J120" s="1"/>
      <c r="K120" s="1"/>
    </row>
    <row r="121" spans="1:11" x14ac:dyDescent="0.45">
      <c r="A121" s="2">
        <f t="shared" si="6"/>
        <v>119</v>
      </c>
      <c r="B121" s="2">
        <f t="shared" si="7"/>
        <v>69.8333333333333</v>
      </c>
      <c r="C121" s="2">
        <f>2*Data!B121-80</f>
        <v>59.6666666666666</v>
      </c>
      <c r="D121" s="2">
        <v>0</v>
      </c>
      <c r="E121" s="7">
        <f t="shared" si="8"/>
        <v>0.34312996106578453</v>
      </c>
      <c r="F121" s="7">
        <f t="shared" si="10"/>
        <v>2.3200241683696277E-4</v>
      </c>
      <c r="G121" s="2">
        <f t="shared" si="9"/>
        <v>9.0888499614627472E-2</v>
      </c>
      <c r="H121" s="2">
        <f>(SystemConstants!$B$6*F121)+(0.5*SystemConstants!$B$7*SystemConstants!$B$5*Data!E121^2)+(0.5*SystemConstants!$B$7*SystemConstants!$B$2*SystemConstants!$B$3*Data!E121^2)</f>
        <v>67.342344509996394</v>
      </c>
      <c r="I121" s="1"/>
      <c r="J121" s="1"/>
      <c r="K121" s="1"/>
    </row>
    <row r="122" spans="1:11" x14ac:dyDescent="0.45">
      <c r="A122" s="2">
        <f t="shared" si="6"/>
        <v>120</v>
      </c>
      <c r="B122" s="2">
        <f t="shared" si="7"/>
        <v>69.999999999999972</v>
      </c>
      <c r="C122" s="2">
        <f>2*Data!B122-80</f>
        <v>59.999999999999943</v>
      </c>
      <c r="D122" s="2">
        <v>0</v>
      </c>
      <c r="E122" s="7">
        <f t="shared" si="8"/>
        <v>0.34335937310581244</v>
      </c>
      <c r="F122" s="7">
        <f t="shared" si="10"/>
        <v>2.2941204002790982E-4</v>
      </c>
      <c r="G122" s="2">
        <f t="shared" si="9"/>
        <v>9.0211741264121487E-2</v>
      </c>
      <c r="H122" s="2">
        <f>(SystemConstants!$B$6*F122)+(0.5*SystemConstants!$B$7*SystemConstants!$B$5*Data!E122^2)+(0.5*SystemConstants!$B$7*SystemConstants!$B$2*SystemConstants!$B$3*Data!E122^2)</f>
        <v>67.432420068952183</v>
      </c>
      <c r="I122" s="1"/>
      <c r="J122" s="1"/>
      <c r="K122" s="1"/>
    </row>
    <row r="123" spans="1:11" x14ac:dyDescent="0.45">
      <c r="A123" s="2">
        <f t="shared" si="6"/>
        <v>121</v>
      </c>
      <c r="B123" s="2">
        <f t="shared" si="7"/>
        <v>70.166666666666643</v>
      </c>
      <c r="C123" s="2">
        <f>2*Data!B123-80</f>
        <v>60.333333333333286</v>
      </c>
      <c r="D123" s="2">
        <v>0</v>
      </c>
      <c r="E123" s="7">
        <f t="shared" si="8"/>
        <v>0.34358623149560685</v>
      </c>
      <c r="F123" s="7">
        <f t="shared" si="10"/>
        <v>2.2685838979441542E-4</v>
      </c>
      <c r="G123" s="2">
        <f t="shared" si="9"/>
        <v>8.9542071285902039E-2</v>
      </c>
      <c r="H123" s="2">
        <f>(SystemConstants!$B$6*F123)+(0.5*SystemConstants!$B$7*SystemConstants!$B$5*Data!E123^2)+(0.5*SystemConstants!$B$7*SystemConstants!$B$2*SystemConstants!$B$3*Data!E123^2)</f>
        <v>67.521552182700987</v>
      </c>
      <c r="I123" s="1"/>
      <c r="J123" s="1"/>
      <c r="K123" s="1"/>
    </row>
    <row r="124" spans="1:11" x14ac:dyDescent="0.45">
      <c r="A124" s="2">
        <f t="shared" si="6"/>
        <v>122</v>
      </c>
      <c r="B124" s="2">
        <f t="shared" si="7"/>
        <v>70.333333333333314</v>
      </c>
      <c r="C124" s="2">
        <f>2*Data!B124-80</f>
        <v>60.666666666666629</v>
      </c>
      <c r="D124" s="2">
        <v>0</v>
      </c>
      <c r="E124" s="7">
        <f t="shared" si="8"/>
        <v>0.34381057234556067</v>
      </c>
      <c r="F124" s="7">
        <f t="shared" si="10"/>
        <v>2.2434084995381909E-4</v>
      </c>
      <c r="G124" s="2">
        <f t="shared" si="9"/>
        <v>8.8879397942327215E-2</v>
      </c>
      <c r="H124" s="2">
        <f>(SystemConstants!$B$6*F124)+(0.5*SystemConstants!$B$7*SystemConstants!$B$5*Data!E124^2)+(0.5*SystemConstants!$B$7*SystemConstants!$B$2*SystemConstants!$B$3*Data!E124^2)</f>
        <v>67.609753064576879</v>
      </c>
      <c r="I124" s="1"/>
      <c r="J124" s="1"/>
      <c r="K124" s="1"/>
    </row>
    <row r="125" spans="1:11" x14ac:dyDescent="0.45">
      <c r="A125" s="2">
        <f t="shared" si="6"/>
        <v>123</v>
      </c>
      <c r="B125" s="2">
        <f t="shared" si="7"/>
        <v>70.499999999999986</v>
      </c>
      <c r="C125" s="2">
        <f>2*Data!B125-80</f>
        <v>60.999999999999972</v>
      </c>
      <c r="D125" s="2">
        <v>0</v>
      </c>
      <c r="E125" s="7">
        <f t="shared" si="8"/>
        <v>0.34403243116156546</v>
      </c>
      <c r="F125" s="7">
        <f t="shared" si="10"/>
        <v>2.2185881600478297E-4</v>
      </c>
      <c r="G125" s="2">
        <f t="shared" si="9"/>
        <v>8.8223630806690614E-2</v>
      </c>
      <c r="H125" s="2">
        <f>(SystemConstants!$B$6*F125)+(0.5*SystemConstants!$B$7*SystemConstants!$B$5*Data!E125^2)+(0.5*SystemConstants!$B$7*SystemConstants!$B$2*SystemConstants!$B$3*Data!E125^2)</f>
        <v>67.697034749052932</v>
      </c>
      <c r="I125" s="1"/>
      <c r="J125" s="1"/>
      <c r="K125" s="1"/>
    </row>
    <row r="126" spans="1:11" x14ac:dyDescent="0.45">
      <c r="A126" s="2">
        <f t="shared" si="6"/>
        <v>124</v>
      </c>
      <c r="B126" s="2">
        <f t="shared" si="7"/>
        <v>70.666666666666657</v>
      </c>
      <c r="C126" s="2">
        <f>2*Data!B126-80</f>
        <v>61.333333333333314</v>
      </c>
      <c r="D126" s="2">
        <v>0</v>
      </c>
      <c r="E126" s="7">
        <f t="shared" si="8"/>
        <v>0.34425184285642274</v>
      </c>
      <c r="F126" s="7">
        <f t="shared" si="10"/>
        <v>2.1941169485728551E-4</v>
      </c>
      <c r="G126" s="2">
        <f t="shared" si="9"/>
        <v>8.7574680772190619E-2</v>
      </c>
      <c r="H126" s="2">
        <f>(SystemConstants!$B$6*F126)+(0.5*SystemConstants!$B$7*SystemConstants!$B$5*Data!E126^2)+(0.5*SystemConstants!$B$7*SystemConstants!$B$2*SystemConstants!$B$3*Data!E126^2)</f>
        <v>67.783409094443698</v>
      </c>
      <c r="I126" s="1"/>
      <c r="J126" s="1"/>
      <c r="K126" s="1"/>
    </row>
    <row r="127" spans="1:11" x14ac:dyDescent="0.45">
      <c r="A127" s="2">
        <f t="shared" si="6"/>
        <v>125</v>
      </c>
      <c r="B127" s="2">
        <f t="shared" si="7"/>
        <v>70.833333333333329</v>
      </c>
      <c r="C127" s="2">
        <f>2*Data!B127-80</f>
        <v>61.666666666666657</v>
      </c>
      <c r="D127" s="2">
        <v>0</v>
      </c>
      <c r="E127" s="7">
        <f t="shared" si="8"/>
        <v>0.34446884176095693</v>
      </c>
      <c r="F127" s="7">
        <f t="shared" si="10"/>
        <v>2.1699890453419357E-4</v>
      </c>
      <c r="G127" s="2">
        <f t="shared" si="9"/>
        <v>8.6932460050441862E-2</v>
      </c>
      <c r="H127" s="2">
        <f>(SystemConstants!$B$6*F127)+(0.5*SystemConstants!$B$7*SystemConstants!$B$5*Data!E127^2)+(0.5*SystemConstants!$B$7*SystemConstants!$B$2*SystemConstants!$B$3*Data!E127^2)</f>
        <v>67.868887785546832</v>
      </c>
      <c r="I127" s="1"/>
      <c r="J127" s="1"/>
      <c r="K127" s="1"/>
    </row>
    <row r="128" spans="1:11" x14ac:dyDescent="0.45">
      <c r="A128" s="2">
        <f t="shared" si="6"/>
        <v>126</v>
      </c>
      <c r="B128" s="2">
        <f t="shared" si="7"/>
        <v>71</v>
      </c>
      <c r="C128" s="2">
        <f>2*Data!B128-80</f>
        <v>62</v>
      </c>
      <c r="D128" s="2">
        <v>0</v>
      </c>
      <c r="E128" s="7">
        <f t="shared" si="8"/>
        <v>0.34468346163492924</v>
      </c>
      <c r="F128" s="7">
        <f t="shared" si="10"/>
        <v>2.1461987397231042E-4</v>
      </c>
      <c r="G128" s="2">
        <f t="shared" si="9"/>
        <v>8.6296882142252285E-2</v>
      </c>
      <c r="H128" s="2">
        <f>(SystemConstants!$B$6*F128)+(0.5*SystemConstants!$B$7*SystemConstants!$B$5*Data!E128^2)+(0.5*SystemConstants!$B$7*SystemConstants!$B$2*SystemConstants!$B$3*Data!E128^2)</f>
        <v>67.953482336261402</v>
      </c>
      <c r="I128" s="1"/>
      <c r="J128" s="1"/>
      <c r="K128" s="1"/>
    </row>
    <row r="129" spans="1:11" x14ac:dyDescent="0.45">
      <c r="A129" s="2">
        <f t="shared" si="6"/>
        <v>127</v>
      </c>
      <c r="B129" s="2">
        <f t="shared" si="7"/>
        <v>71.166666666666671</v>
      </c>
      <c r="C129" s="2">
        <f>2*Data!B129-80</f>
        <v>62.333333333333343</v>
      </c>
      <c r="D129" s="2">
        <v>0</v>
      </c>
      <c r="E129" s="7">
        <f t="shared" si="8"/>
        <v>0.34489573567778109</v>
      </c>
      <c r="F129" s="7">
        <f t="shared" si="10"/>
        <v>2.1227404285184548E-4</v>
      </c>
      <c r="G129" s="2">
        <f t="shared" si="9"/>
        <v>8.5667861787383087E-2</v>
      </c>
      <c r="H129" s="2">
        <f>(SystemConstants!$B$6*F129)+(0.5*SystemConstants!$B$7*SystemConstants!$B$5*Data!E129^2)+(0.5*SystemConstants!$B$7*SystemConstants!$B$2*SystemConstants!$B$3*Data!E129^2)</f>
        <v>68.03720409219234</v>
      </c>
      <c r="I129" s="1"/>
      <c r="J129" s="1"/>
      <c r="K129" s="1"/>
    </row>
    <row r="130" spans="1:11" x14ac:dyDescent="0.45">
      <c r="A130" s="2">
        <f t="shared" si="6"/>
        <v>128</v>
      </c>
      <c r="B130" s="2">
        <f t="shared" si="7"/>
        <v>71.333333333333343</v>
      </c>
      <c r="C130" s="2">
        <f>2*Data!B130-80</f>
        <v>62.666666666666686</v>
      </c>
      <c r="D130" s="2">
        <v>0</v>
      </c>
      <c r="E130" s="7">
        <f t="shared" si="8"/>
        <v>0.3451056965391075</v>
      </c>
      <c r="F130" s="7">
        <f t="shared" si="10"/>
        <v>2.0996086132640812E-4</v>
      </c>
      <c r="G130" s="2">
        <f t="shared" si="9"/>
        <v>8.5045315012880457E-2</v>
      </c>
      <c r="H130" s="2">
        <f>(SystemConstants!$B$6*F130)+(0.5*SystemConstants!$B$7*SystemConstants!$B$5*Data!E130^2)+(0.5*SystemConstants!$B$7*SystemConstants!$B$2*SystemConstants!$B$3*Data!E130^2)</f>
        <v>68.120064233199642</v>
      </c>
      <c r="I130" s="1"/>
      <c r="J130" s="1"/>
      <c r="K130" s="1"/>
    </row>
    <row r="131" spans="1:11" x14ac:dyDescent="0.45">
      <c r="A131" s="2">
        <f t="shared" ref="A131:A194" si="11">A130+1</f>
        <v>129</v>
      </c>
      <c r="B131" s="2">
        <f t="shared" si="7"/>
        <v>71.500000000000014</v>
      </c>
      <c r="C131" s="2">
        <f>2*Data!B131-80</f>
        <v>63.000000000000028</v>
      </c>
      <c r="D131" s="2">
        <v>0</v>
      </c>
      <c r="E131" s="7">
        <f t="shared" si="8"/>
        <v>0.3453133763288605</v>
      </c>
      <c r="F131" s="7">
        <f t="shared" si="10"/>
        <v>2.0767978975300139E-4</v>
      </c>
      <c r="G131" s="2">
        <f t="shared" si="9"/>
        <v>8.4429159029911105E-2</v>
      </c>
      <c r="H131" s="2">
        <f>(SystemConstants!$B$6*F131)+(0.5*SystemConstants!$B$7*SystemConstants!$B$5*Data!E131^2)+(0.5*SystemConstants!$B$7*SystemConstants!$B$2*SystemConstants!$B$3*Data!E131^2)</f>
        <v>68.202073775890739</v>
      </c>
      <c r="I131" s="1"/>
      <c r="J131" s="1"/>
      <c r="K131" s="1"/>
    </row>
    <row r="132" spans="1:11" x14ac:dyDescent="0.45">
      <c r="A132" s="2">
        <f t="shared" si="11"/>
        <v>130</v>
      </c>
      <c r="B132" s="2">
        <f t="shared" ref="B132:B182" si="12">B131+(30/180)</f>
        <v>71.666666666666686</v>
      </c>
      <c r="C132" s="2">
        <f>2*Data!B132-80</f>
        <v>63.333333333333371</v>
      </c>
      <c r="D132" s="2">
        <v>0</v>
      </c>
      <c r="E132" s="7">
        <f t="shared" ref="E132:E195" si="13">ABS((SQRT(B132^2+C132^2+D132^2)-SQRT(B131^2+C131^2+D131^2))/(A132-A131))</f>
        <v>0.34551880662758094</v>
      </c>
      <c r="F132" s="7">
        <f t="shared" si="10"/>
        <v>2.0543029872044372E-4</v>
      </c>
      <c r="G132" s="2">
        <f t="shared" si="9"/>
        <v>8.3819312263010606E-2</v>
      </c>
      <c r="H132" s="2">
        <f>(SystemConstants!$B$6*F132)+(0.5*SystemConstants!$B$7*SystemConstants!$B$5*Data!E132^2)+(0.5*SystemConstants!$B$7*SystemConstants!$B$2*SystemConstants!$B$3*Data!E132^2)</f>
        <v>68.283243576172922</v>
      </c>
      <c r="I132" s="1"/>
      <c r="J132" s="1"/>
      <c r="K132" s="1"/>
    </row>
    <row r="133" spans="1:11" x14ac:dyDescent="0.45">
      <c r="A133" s="2">
        <f t="shared" si="11"/>
        <v>131</v>
      </c>
      <c r="B133" s="2">
        <f t="shared" si="12"/>
        <v>71.833333333333357</v>
      </c>
      <c r="C133" s="2">
        <f>2*Data!B133-80</f>
        <v>63.666666666666714</v>
      </c>
      <c r="D133" s="2">
        <v>0</v>
      </c>
      <c r="E133" s="7">
        <f t="shared" si="13"/>
        <v>0.34572201849604767</v>
      </c>
      <c r="F133" s="7">
        <f t="shared" si="10"/>
        <v>2.032118684667239E-4</v>
      </c>
      <c r="G133" s="2">
        <f t="shared" ref="G133:G196" si="14">DEGREES(ACOS( (B132*B133+C132*C133+D132*D133) / SQRT((B132^2+C132^2+D132^2)*(B133^2+C133^2+D133^2))))</f>
        <v>8.3215694356571765E-2</v>
      </c>
      <c r="H133" s="2">
        <f>(SystemConstants!$B$6*F133)+(0.5*SystemConstants!$B$7*SystemConstants!$B$5*Data!E133^2)+(0.5*SystemConstants!$B$7*SystemConstants!$B$2*SystemConstants!$B$3*Data!E133^2)</f>
        <v>68.36358433162134</v>
      </c>
      <c r="I133" s="1"/>
      <c r="J133" s="1"/>
      <c r="K133" s="1"/>
    </row>
    <row r="134" spans="1:11" x14ac:dyDescent="0.45">
      <c r="A134" s="2">
        <f t="shared" si="11"/>
        <v>132</v>
      </c>
      <c r="B134" s="2">
        <f t="shared" si="12"/>
        <v>72.000000000000028</v>
      </c>
      <c r="C134" s="2">
        <f>2*Data!B134-80</f>
        <v>64.000000000000057</v>
      </c>
      <c r="D134" s="2">
        <v>0</v>
      </c>
      <c r="E134" s="7">
        <f t="shared" si="13"/>
        <v>0.34592304248518246</v>
      </c>
      <c r="F134" s="7">
        <f t="shared" si="10"/>
        <v>2.0102398913479647E-4</v>
      </c>
      <c r="G134" s="2">
        <f t="shared" si="14"/>
        <v>8.2618226104350809E-2</v>
      </c>
      <c r="H134" s="2">
        <f>(SystemConstants!$B$6*F134)+(0.5*SystemConstants!$B$7*SystemConstants!$B$5*Data!E134^2)+(0.5*SystemConstants!$B$7*SystemConstants!$B$2*SystemConstants!$B$3*Data!E134^2)</f>
        <v>68.443106583994322</v>
      </c>
      <c r="I134" s="1"/>
      <c r="J134" s="1"/>
      <c r="K134" s="1"/>
    </row>
    <row r="135" spans="1:11" x14ac:dyDescent="0.45">
      <c r="A135" s="2">
        <f t="shared" si="11"/>
        <v>133</v>
      </c>
      <c r="B135" s="2">
        <f t="shared" si="12"/>
        <v>72.1666666666667</v>
      </c>
      <c r="C135" s="2">
        <f>2*Data!B135-80</f>
        <v>64.3333333333334</v>
      </c>
      <c r="D135" s="2">
        <v>0</v>
      </c>
      <c r="E135" s="7">
        <f t="shared" si="13"/>
        <v>0.34612190864531556</v>
      </c>
      <c r="F135" s="7">
        <f t="shared" si="10"/>
        <v>1.9886616013309322E-4</v>
      </c>
      <c r="G135" s="2">
        <f t="shared" si="14"/>
        <v>8.2026829444887331E-2</v>
      </c>
      <c r="H135" s="2">
        <f>(SystemConstants!$B$6*F135)+(0.5*SystemConstants!$B$7*SystemConstants!$B$5*Data!E135^2)+(0.5*SystemConstants!$B$7*SystemConstants!$B$2*SystemConstants!$B$3*Data!E135^2)</f>
        <v>68.52182072153856</v>
      </c>
      <c r="I135" s="1"/>
      <c r="J135" s="1"/>
      <c r="K135" s="1"/>
    </row>
    <row r="136" spans="1:11" x14ac:dyDescent="0.45">
      <c r="A136" s="2">
        <f t="shared" si="11"/>
        <v>134</v>
      </c>
      <c r="B136" s="2">
        <f t="shared" si="12"/>
        <v>72.333333333333371</v>
      </c>
      <c r="C136" s="2">
        <f>2*Data!B136-80</f>
        <v>64.666666666666742</v>
      </c>
      <c r="D136" s="2">
        <v>0</v>
      </c>
      <c r="E136" s="7">
        <f t="shared" si="13"/>
        <v>0.34631864653557898</v>
      </c>
      <c r="F136" s="7">
        <f t="shared" si="10"/>
        <v>1.9673789026342092E-4</v>
      </c>
      <c r="G136" s="2">
        <f t="shared" si="14"/>
        <v>8.1441427472572714E-2</v>
      </c>
      <c r="H136" s="2">
        <f>(SystemConstants!$B$6*F136)+(0.5*SystemConstants!$B$7*SystemConstants!$B$5*Data!E136^2)+(0.5*SystemConstants!$B$7*SystemConstants!$B$2*SystemConstants!$B$3*Data!E136^2)</f>
        <v>68.59973698138802</v>
      </c>
      <c r="I136" s="1"/>
      <c r="J136" s="1"/>
      <c r="K136" s="1"/>
    </row>
    <row r="137" spans="1:11" x14ac:dyDescent="0.45">
      <c r="A137" s="2">
        <f t="shared" si="11"/>
        <v>135</v>
      </c>
      <c r="B137" s="2">
        <f t="shared" si="12"/>
        <v>72.500000000000043</v>
      </c>
      <c r="C137" s="2">
        <f>2*Data!B137-80</f>
        <v>65.000000000000085</v>
      </c>
      <c r="D137" s="2">
        <v>0</v>
      </c>
      <c r="E137" s="7">
        <f t="shared" si="13"/>
        <v>0.34651328523300151</v>
      </c>
      <c r="F137" s="7">
        <f t="shared" ref="F137:F200" si="15">(E137-E136)/(A137-A136)</f>
        <v>1.9463869742253337E-4</v>
      </c>
      <c r="G137" s="2">
        <f t="shared" si="14"/>
        <v>8.0861944393084098E-2</v>
      </c>
      <c r="H137" s="2">
        <f>(SystemConstants!$B$6*F137)+(0.5*SystemConstants!$B$7*SystemConstants!$B$5*Data!E137^2)+(0.5*SystemConstants!$B$7*SystemConstants!$B$2*SystemConstants!$B$3*Data!E137^2)</f>
        <v>68.676865451885305</v>
      </c>
      <c r="I137" s="1"/>
      <c r="J137" s="1"/>
      <c r="K137" s="1"/>
    </row>
    <row r="138" spans="1:11" x14ac:dyDescent="0.45">
      <c r="A138" s="2">
        <f t="shared" si="11"/>
        <v>136</v>
      </c>
      <c r="B138" s="2">
        <f t="shared" si="12"/>
        <v>72.666666666666714</v>
      </c>
      <c r="C138" s="2">
        <f>2*Data!B138-80</f>
        <v>65.333333333333428</v>
      </c>
      <c r="D138" s="2">
        <v>0</v>
      </c>
      <c r="E138" s="7">
        <f t="shared" si="13"/>
        <v>0.3467058533414189</v>
      </c>
      <c r="F138" s="7">
        <f t="shared" si="15"/>
        <v>1.9256810841739025E-4</v>
      </c>
      <c r="G138" s="2">
        <f t="shared" si="14"/>
        <v>8.0288305502112925E-2</v>
      </c>
      <c r="H138" s="2">
        <f>(SystemConstants!$B$6*F138)+(0.5*SystemConstants!$B$7*SystemConstants!$B$5*Data!E138^2)+(0.5*SystemConstants!$B$7*SystemConstants!$B$2*SystemConstants!$B$3*Data!E138^2)</f>
        <v>68.753216074869712</v>
      </c>
      <c r="I138" s="1"/>
      <c r="J138" s="1"/>
      <c r="K138" s="1"/>
    </row>
    <row r="139" spans="1:11" x14ac:dyDescent="0.45">
      <c r="A139" s="2">
        <f t="shared" si="11"/>
        <v>137</v>
      </c>
      <c r="B139" s="2">
        <f t="shared" si="12"/>
        <v>72.833333333333385</v>
      </c>
      <c r="C139" s="2">
        <f>2*Data!B139-80</f>
        <v>65.666666666666771</v>
      </c>
      <c r="D139" s="2">
        <v>0</v>
      </c>
      <c r="E139" s="7">
        <f t="shared" si="13"/>
        <v>0.34689637900009984</v>
      </c>
      <c r="F139" s="7">
        <f t="shared" si="15"/>
        <v>1.9052565868094007E-4</v>
      </c>
      <c r="G139" s="2">
        <f t="shared" si="14"/>
        <v>7.9720437174907205E-2</v>
      </c>
      <c r="H139" s="2">
        <f>(SystemConstants!$B$6*F139)+(0.5*SystemConstants!$B$7*SystemConstants!$B$5*Data!E139^2)+(0.5*SystemConstants!$B$7*SystemConstants!$B$2*SystemConstants!$B$3*Data!E139^2)</f>
        <v>68.828798647890835</v>
      </c>
      <c r="I139" s="1"/>
      <c r="J139" s="1"/>
      <c r="K139" s="1"/>
    </row>
    <row r="140" spans="1:11" x14ac:dyDescent="0.45">
      <c r="A140" s="2">
        <f t="shared" si="11"/>
        <v>138</v>
      </c>
      <c r="B140" s="2">
        <f t="shared" si="12"/>
        <v>73.000000000000057</v>
      </c>
      <c r="C140" s="2">
        <f>2*Data!B140-80</f>
        <v>66.000000000000114</v>
      </c>
      <c r="D140" s="2">
        <v>0</v>
      </c>
      <c r="E140" s="7">
        <f t="shared" si="13"/>
        <v>0.34708488989249986</v>
      </c>
      <c r="F140" s="7">
        <f t="shared" si="15"/>
        <v>1.8851089240001784E-4</v>
      </c>
      <c r="G140" s="2">
        <f t="shared" si="14"/>
        <v>7.9158266894998289E-2</v>
      </c>
      <c r="H140" s="2">
        <f>(SystemConstants!$B$6*F140)+(0.5*SystemConstants!$B$7*SystemConstants!$B$5*Data!E140^2)+(0.5*SystemConstants!$B$7*SystemConstants!$B$2*SystemConstants!$B$3*Data!E140^2)</f>
        <v>68.903622826510656</v>
      </c>
      <c r="I140" s="1"/>
      <c r="J140" s="1"/>
      <c r="K140" s="1"/>
    </row>
    <row r="141" spans="1:11" x14ac:dyDescent="0.45">
      <c r="A141" s="2">
        <f t="shared" si="11"/>
        <v>139</v>
      </c>
      <c r="B141" s="2">
        <f t="shared" si="12"/>
        <v>73.166666666666728</v>
      </c>
      <c r="C141" s="2">
        <f>2*Data!B141-80</f>
        <v>66.333333333333456</v>
      </c>
      <c r="D141" s="2">
        <v>0</v>
      </c>
      <c r="E141" s="7">
        <f t="shared" si="13"/>
        <v>0.34727141325450361</v>
      </c>
      <c r="F141" s="7">
        <f t="shared" si="15"/>
        <v>1.865233620037543E-4</v>
      </c>
      <c r="G141" s="2">
        <f t="shared" si="14"/>
        <v>7.8601723157028625E-2</v>
      </c>
      <c r="H141" s="2">
        <f>(SystemConstants!$B$6*F141)+(0.5*SystemConstants!$B$7*SystemConstants!$B$5*Data!E141^2)+(0.5*SystemConstants!$B$7*SystemConstants!$B$2*SystemConstants!$B$3*Data!E141^2)</f>
        <v>68.977698126438057</v>
      </c>
      <c r="I141" s="1"/>
      <c r="J141" s="1"/>
      <c r="K141" s="1"/>
    </row>
    <row r="142" spans="1:11" x14ac:dyDescent="0.45">
      <c r="A142" s="2">
        <f t="shared" si="11"/>
        <v>140</v>
      </c>
      <c r="B142" s="2">
        <f t="shared" si="12"/>
        <v>73.3333333333334</v>
      </c>
      <c r="C142" s="2">
        <f>2*Data!B142-80</f>
        <v>66.666666666666799</v>
      </c>
      <c r="D142" s="2">
        <v>0</v>
      </c>
      <c r="E142" s="7">
        <f t="shared" si="13"/>
        <v>0.34745597588266719</v>
      </c>
      <c r="F142" s="7">
        <f t="shared" si="15"/>
        <v>1.8456262816357594E-4</v>
      </c>
      <c r="G142" s="2">
        <f t="shared" si="14"/>
        <v>7.80507354896008E-2</v>
      </c>
      <c r="H142" s="2">
        <f>(SystemConstants!$B$6*F142)+(0.5*SystemConstants!$B$7*SystemConstants!$B$5*Data!E142^2)+(0.5*SystemConstants!$B$7*SystemConstants!$B$2*SystemConstants!$B$3*Data!E142^2)</f>
        <v>69.051033925698803</v>
      </c>
      <c r="I142" s="1"/>
      <c r="J142" s="1"/>
      <c r="K142" s="1"/>
    </row>
    <row r="143" spans="1:11" x14ac:dyDescent="0.45">
      <c r="A143" s="2">
        <f t="shared" si="11"/>
        <v>141</v>
      </c>
      <c r="B143" s="2">
        <f t="shared" si="12"/>
        <v>73.500000000000071</v>
      </c>
      <c r="C143" s="2">
        <f>2*Data!B143-80</f>
        <v>67.000000000000142</v>
      </c>
      <c r="D143" s="2">
        <v>0</v>
      </c>
      <c r="E143" s="7">
        <f t="shared" si="13"/>
        <v>0.3476386041423325</v>
      </c>
      <c r="F143" s="7">
        <f t="shared" si="15"/>
        <v>1.8262825966530727E-4</v>
      </c>
      <c r="G143" s="2">
        <f t="shared" si="14"/>
        <v>7.7505234449298133E-2</v>
      </c>
      <c r="H143" s="2">
        <f>(SystemConstants!$B$6*F143)+(0.5*SystemConstants!$B$7*SystemConstants!$B$5*Data!E143^2)+(0.5*SystemConstants!$B$7*SystemConstants!$B$2*SystemConstants!$B$3*Data!E143^2)</f>
        <v>69.123639466788305</v>
      </c>
      <c r="I143" s="1"/>
      <c r="J143" s="1"/>
      <c r="K143" s="1"/>
    </row>
    <row r="144" spans="1:11" x14ac:dyDescent="0.45">
      <c r="A144" s="2">
        <f t="shared" si="11"/>
        <v>142</v>
      </c>
      <c r="B144" s="2">
        <f t="shared" si="12"/>
        <v>73.666666666666742</v>
      </c>
      <c r="C144" s="2">
        <f>2*Data!B144-80</f>
        <v>67.333333333333485</v>
      </c>
      <c r="D144" s="2">
        <v>0</v>
      </c>
      <c r="E144" s="7">
        <f t="shared" si="13"/>
        <v>0.34781932397545745</v>
      </c>
      <c r="F144" s="7">
        <f t="shared" si="15"/>
        <v>1.8071983312495377E-4</v>
      </c>
      <c r="G144" s="2">
        <f t="shared" si="14"/>
        <v>7.6965151603051618E-2</v>
      </c>
      <c r="H144" s="2">
        <f>(SystemConstants!$B$6*F144)+(0.5*SystemConstants!$B$7*SystemConstants!$B$5*Data!E144^2)+(0.5*SystemConstants!$B$7*SystemConstants!$B$2*SystemConstants!$B$3*Data!E144^2)</f>
        <v>69.195523858744252</v>
      </c>
      <c r="I144" s="1"/>
      <c r="J144" s="1"/>
      <c r="K144" s="1"/>
    </row>
    <row r="145" spans="1:11" x14ac:dyDescent="0.45">
      <c r="A145" s="2">
        <f t="shared" si="11"/>
        <v>143</v>
      </c>
      <c r="B145" s="2">
        <f t="shared" si="12"/>
        <v>73.833333333333414</v>
      </c>
      <c r="C145" s="2">
        <f>2*Data!B145-80</f>
        <v>67.666666666666828</v>
      </c>
      <c r="D145" s="2">
        <v>0</v>
      </c>
      <c r="E145" s="7">
        <f t="shared" si="13"/>
        <v>0.3479981609083751</v>
      </c>
      <c r="F145" s="7">
        <f t="shared" si="15"/>
        <v>1.7883693291764757E-4</v>
      </c>
      <c r="G145" s="2">
        <f t="shared" si="14"/>
        <v>7.643041951289882E-2</v>
      </c>
      <c r="H145" s="2">
        <f>(SystemConstants!$B$6*F145)+(0.5*SystemConstants!$B$7*SystemConstants!$B$5*Data!E145^2)+(0.5*SystemConstants!$B$7*SystemConstants!$B$2*SystemConstants!$B$3*Data!E145^2)</f>
        <v>69.266696079222754</v>
      </c>
      <c r="I145" s="1"/>
      <c r="J145" s="1"/>
      <c r="K145" s="1"/>
    </row>
    <row r="146" spans="1:11" x14ac:dyDescent="0.45">
      <c r="A146" s="2">
        <f t="shared" si="11"/>
        <v>144</v>
      </c>
      <c r="B146" s="2">
        <f t="shared" si="12"/>
        <v>74.000000000000085</v>
      </c>
      <c r="C146" s="2">
        <f>2*Data!B146-80</f>
        <v>68.000000000000171</v>
      </c>
      <c r="D146" s="2">
        <v>0</v>
      </c>
      <c r="E146" s="7">
        <f t="shared" si="13"/>
        <v>0.34817514005941064</v>
      </c>
      <c r="F146" s="7">
        <f t="shared" si="15"/>
        <v>1.7697915103553896E-4</v>
      </c>
      <c r="G146" s="2">
        <f t="shared" si="14"/>
        <v>7.5900971679980569E-2</v>
      </c>
      <c r="H146" s="2">
        <f>(SystemConstants!$B$6*F146)+(0.5*SystemConstants!$B$7*SystemConstants!$B$5*Data!E146^2)+(0.5*SystemConstants!$B$7*SystemConstants!$B$2*SystemConstants!$B$3*Data!E146^2)</f>
        <v>69.337164976548806</v>
      </c>
      <c r="I146" s="1"/>
      <c r="J146" s="1"/>
      <c r="K146" s="1"/>
    </row>
    <row r="147" spans="1:11" x14ac:dyDescent="0.45">
      <c r="A147" s="2">
        <f t="shared" si="11"/>
        <v>145</v>
      </c>
      <c r="B147" s="2">
        <f t="shared" si="12"/>
        <v>74.166666666666757</v>
      </c>
      <c r="C147" s="2">
        <f>2*Data!B147-80</f>
        <v>68.333333333333513</v>
      </c>
      <c r="D147" s="2">
        <v>0</v>
      </c>
      <c r="E147" s="7">
        <f t="shared" si="13"/>
        <v>0.34835028614624264</v>
      </c>
      <c r="F147" s="7">
        <f t="shared" si="15"/>
        <v>1.7514608683200095E-4</v>
      </c>
      <c r="G147" s="2">
        <f t="shared" si="14"/>
        <v>7.5376742590913454E-2</v>
      </c>
      <c r="H147" s="2">
        <f>(SystemConstants!$B$6*F147)+(0.5*SystemConstants!$B$7*SystemConstants!$B$5*Data!E147^2)+(0.5*SystemConstants!$B$7*SystemConstants!$B$2*SystemConstants!$B$3*Data!E147^2)</f>
        <v>69.40693927169454</v>
      </c>
      <c r="I147" s="1"/>
      <c r="J147" s="1"/>
      <c r="K147" s="1"/>
    </row>
    <row r="148" spans="1:11" x14ac:dyDescent="0.45">
      <c r="A148" s="2">
        <f t="shared" si="11"/>
        <v>146</v>
      </c>
      <c r="B148" s="2">
        <f t="shared" si="12"/>
        <v>74.333333333333428</v>
      </c>
      <c r="C148" s="2">
        <f>2*Data!B148-80</f>
        <v>68.666666666666856</v>
      </c>
      <c r="D148" s="2">
        <v>0</v>
      </c>
      <c r="E148" s="7">
        <f t="shared" si="13"/>
        <v>0.34852362349325006</v>
      </c>
      <c r="F148" s="7">
        <f t="shared" si="15"/>
        <v>1.7333734700741843E-4</v>
      </c>
      <c r="G148" s="2">
        <f t="shared" si="14"/>
        <v>7.4857667642817871E-2</v>
      </c>
      <c r="H148" s="2">
        <f>(SystemConstants!$B$6*F148)+(0.5*SystemConstants!$B$7*SystemConstants!$B$5*Data!E148^2)+(0.5*SystemConstants!$B$7*SystemConstants!$B$2*SystemConstants!$B$3*Data!E148^2)</f>
        <v>69.476027560280983</v>
      </c>
      <c r="I148" s="1"/>
      <c r="J148" s="1"/>
      <c r="K148" s="1"/>
    </row>
    <row r="149" spans="1:11" x14ac:dyDescent="0.45">
      <c r="A149" s="2">
        <f t="shared" si="11"/>
        <v>147</v>
      </c>
      <c r="B149" s="2">
        <f t="shared" si="12"/>
        <v>74.500000000000099</v>
      </c>
      <c r="C149" s="2">
        <f>2*Data!B149-80</f>
        <v>69.000000000000199</v>
      </c>
      <c r="D149" s="2">
        <v>0</v>
      </c>
      <c r="E149" s="7">
        <f t="shared" si="13"/>
        <v>0.34869517603860345</v>
      </c>
      <c r="F149" s="7">
        <f t="shared" si="15"/>
        <v>1.7155254535339282E-4</v>
      </c>
      <c r="G149" s="2">
        <f t="shared" si="14"/>
        <v>7.4343683215580117E-2</v>
      </c>
      <c r="H149" s="2">
        <f>(SystemConstants!$B$6*F149)+(0.5*SystemConstants!$B$7*SystemConstants!$B$5*Data!E149^2)+(0.5*SystemConstants!$B$7*SystemConstants!$B$2*SystemConstants!$B$3*Data!E149^2)</f>
        <v>69.544438314505612</v>
      </c>
      <c r="I149" s="1"/>
      <c r="J149" s="1"/>
      <c r="K149" s="1"/>
    </row>
    <row r="150" spans="1:11" x14ac:dyDescent="0.45">
      <c r="A150" s="2">
        <f t="shared" si="11"/>
        <v>148</v>
      </c>
      <c r="B150" s="2">
        <f t="shared" si="12"/>
        <v>74.666666666666771</v>
      </c>
      <c r="C150" s="2">
        <f>2*Data!B150-80</f>
        <v>69.333333333333542</v>
      </c>
      <c r="D150" s="2">
        <v>0</v>
      </c>
      <c r="E150" s="7">
        <f t="shared" si="13"/>
        <v>0.34886496734129935</v>
      </c>
      <c r="F150" s="7">
        <f t="shared" si="15"/>
        <v>1.6979130269589859E-4</v>
      </c>
      <c r="G150" s="2">
        <f t="shared" si="14"/>
        <v>7.3834726543218127E-2</v>
      </c>
      <c r="H150" s="2">
        <f>(SystemConstants!$B$6*F150)+(0.5*SystemConstants!$B$7*SystemConstants!$B$5*Data!E150^2)+(0.5*SystemConstants!$B$7*SystemConstants!$B$2*SystemConstants!$B$3*Data!E150^2)</f>
        <v>69.612179885074596</v>
      </c>
      <c r="I150" s="1"/>
      <c r="J150" s="1"/>
      <c r="K150" s="1"/>
    </row>
    <row r="151" spans="1:11" x14ac:dyDescent="0.45">
      <c r="A151" s="2">
        <f t="shared" si="11"/>
        <v>149</v>
      </c>
      <c r="B151" s="2">
        <f t="shared" si="12"/>
        <v>74.833333333333442</v>
      </c>
      <c r="C151" s="2">
        <f>2*Data!B151-80</f>
        <v>69.666666666666885</v>
      </c>
      <c r="D151" s="2">
        <v>0</v>
      </c>
      <c r="E151" s="7">
        <f t="shared" si="13"/>
        <v>0.34903302058799568</v>
      </c>
      <c r="F151" s="7">
        <f t="shared" si="15"/>
        <v>1.6805324669633137E-4</v>
      </c>
      <c r="G151" s="2">
        <f t="shared" si="14"/>
        <v>7.3330735787110496E-2</v>
      </c>
      <c r="H151" s="2">
        <f>(SystemConstants!$B$6*F151)+(0.5*SystemConstants!$B$7*SystemConstants!$B$5*Data!E151^2)+(0.5*SystemConstants!$B$7*SystemConstants!$B$2*SystemConstants!$B$3*Data!E151^2)</f>
        <v>69.679260503081849</v>
      </c>
      <c r="I151" s="1"/>
      <c r="J151" s="1"/>
      <c r="K151" s="1"/>
    </row>
    <row r="152" spans="1:11" x14ac:dyDescent="0.45">
      <c r="A152" s="2">
        <f t="shared" si="11"/>
        <v>150</v>
      </c>
      <c r="B152" s="2">
        <f t="shared" si="12"/>
        <v>75.000000000000114</v>
      </c>
      <c r="C152" s="2">
        <f>2*Data!B152-80</f>
        <v>70.000000000000227</v>
      </c>
      <c r="D152" s="2">
        <v>0</v>
      </c>
      <c r="E152" s="7">
        <f t="shared" si="13"/>
        <v>0.34919935859971929</v>
      </c>
      <c r="F152" s="7">
        <f t="shared" si="15"/>
        <v>1.6633801172361018E-4</v>
      </c>
      <c r="G152" s="2">
        <f t="shared" si="14"/>
        <v>7.2831649985743749E-2</v>
      </c>
      <c r="H152" s="2">
        <f>(SystemConstants!$B$6*F152)+(0.5*SystemConstants!$B$7*SystemConstants!$B$5*Data!E152^2)+(0.5*SystemConstants!$B$7*SystemConstants!$B$2*SystemConstants!$B$3*Data!E152^2)</f>
        <v>69.745688281862556</v>
      </c>
      <c r="I152" s="1"/>
      <c r="J152" s="1"/>
      <c r="K152" s="1"/>
    </row>
    <row r="153" spans="1:11" x14ac:dyDescent="0.45">
      <c r="A153" s="2">
        <f t="shared" si="11"/>
        <v>151</v>
      </c>
      <c r="B153" s="2">
        <f t="shared" si="12"/>
        <v>75.166666666666785</v>
      </c>
      <c r="C153" s="2">
        <f>2*Data!B153-80</f>
        <v>70.33333333333357</v>
      </c>
      <c r="D153" s="2">
        <v>0</v>
      </c>
      <c r="E153" s="7">
        <f t="shared" si="13"/>
        <v>0.34936400383847399</v>
      </c>
      <c r="F153" s="7">
        <f t="shared" si="15"/>
        <v>1.646452387547015E-4</v>
      </c>
      <c r="G153" s="2">
        <f t="shared" si="14"/>
        <v>7.2337409071442066E-2</v>
      </c>
      <c r="H153" s="2">
        <f>(SystemConstants!$B$6*F153)+(0.5*SystemConstants!$B$7*SystemConstants!$B$5*Data!E153^2)+(0.5*SystemConstants!$B$7*SystemConstants!$B$2*SystemConstants!$B$3*Data!E153^2)</f>
        <v>69.811471218831699</v>
      </c>
      <c r="I153" s="1"/>
      <c r="J153" s="1"/>
      <c r="K153" s="1"/>
    </row>
    <row r="154" spans="1:11" x14ac:dyDescent="0.45">
      <c r="A154" s="2">
        <f t="shared" si="11"/>
        <v>152</v>
      </c>
      <c r="B154" s="2">
        <f t="shared" si="12"/>
        <v>75.333333333333456</v>
      </c>
      <c r="C154" s="2">
        <f>2*Data!B154-80</f>
        <v>70.666666666666913</v>
      </c>
      <c r="D154" s="2">
        <v>0</v>
      </c>
      <c r="E154" s="7">
        <f t="shared" si="13"/>
        <v>0.34952697841374913</v>
      </c>
      <c r="F154" s="7">
        <f t="shared" si="15"/>
        <v>1.6297457527514325E-4</v>
      </c>
      <c r="G154" s="2">
        <f t="shared" si="14"/>
        <v>7.1847953784886676E-2</v>
      </c>
      <c r="H154" s="2">
        <f>(SystemConstants!$B$6*F154)+(0.5*SystemConstants!$B$7*SystemConstants!$B$5*Data!E154^2)+(0.5*SystemConstants!$B$7*SystemConstants!$B$2*SystemConstants!$B$3*Data!E154^2)</f>
        <v>69.876617197306899</v>
      </c>
      <c r="I154" s="1"/>
      <c r="J154" s="1"/>
      <c r="K154" s="1"/>
    </row>
    <row r="155" spans="1:11" x14ac:dyDescent="0.45">
      <c r="A155" s="2">
        <f t="shared" si="11"/>
        <v>153</v>
      </c>
      <c r="B155" s="2">
        <f t="shared" si="12"/>
        <v>75.500000000000128</v>
      </c>
      <c r="C155" s="2">
        <f>2*Data!B155-80</f>
        <v>71.000000000000256</v>
      </c>
      <c r="D155" s="2">
        <v>0</v>
      </c>
      <c r="E155" s="7">
        <f t="shared" si="13"/>
        <v>0.34968830408867291</v>
      </c>
      <c r="F155" s="7">
        <f t="shared" si="15"/>
        <v>1.6132567492377348E-4</v>
      </c>
      <c r="G155" s="2">
        <f t="shared" si="14"/>
        <v>7.1363225763573471E-2</v>
      </c>
      <c r="H155" s="2">
        <f>(SystemConstants!$B$6*F155)+(0.5*SystemConstants!$B$7*SystemConstants!$B$5*Data!E155^2)+(0.5*SystemConstants!$B$7*SystemConstants!$B$2*SystemConstants!$B$3*Data!E155^2)</f>
        <v>69.941133988212115</v>
      </c>
      <c r="I155" s="1"/>
      <c r="J155" s="1"/>
      <c r="K155" s="1"/>
    </row>
    <row r="156" spans="1:11" x14ac:dyDescent="0.45">
      <c r="A156" s="2">
        <f t="shared" si="11"/>
        <v>154</v>
      </c>
      <c r="B156" s="2">
        <f t="shared" si="12"/>
        <v>75.666666666666799</v>
      </c>
      <c r="C156" s="2">
        <f>2*Data!B156-80</f>
        <v>71.333333333333599</v>
      </c>
      <c r="D156" s="2">
        <v>0</v>
      </c>
      <c r="E156" s="7">
        <f t="shared" si="13"/>
        <v>0.3498480022865067</v>
      </c>
      <c r="F156" s="7">
        <f t="shared" si="15"/>
        <v>1.596981978337908E-4</v>
      </c>
      <c r="G156" s="2">
        <f t="shared" si="14"/>
        <v>7.0883167442197956E-2</v>
      </c>
      <c r="H156" s="2">
        <f>(SystemConstants!$B$6*F156)+(0.5*SystemConstants!$B$7*SystemConstants!$B$5*Data!E156^2)+(0.5*SystemConstants!$B$7*SystemConstants!$B$2*SystemConstants!$B$3*Data!E156^2)</f>
        <v>70.005029251940897</v>
      </c>
      <c r="I156" s="1"/>
      <c r="J156" s="1"/>
      <c r="K156" s="1"/>
    </row>
    <row r="157" spans="1:11" x14ac:dyDescent="0.45">
      <c r="A157" s="2">
        <f t="shared" si="11"/>
        <v>155</v>
      </c>
      <c r="B157" s="2">
        <f t="shared" si="12"/>
        <v>75.833333333333471</v>
      </c>
      <c r="C157" s="2">
        <f>2*Data!B157-80</f>
        <v>71.666666666666941</v>
      </c>
      <c r="D157" s="2">
        <v>0</v>
      </c>
      <c r="E157" s="7">
        <f t="shared" si="13"/>
        <v>0.35000609409637207</v>
      </c>
      <c r="F157" s="7">
        <f t="shared" si="15"/>
        <v>1.580918098653683E-4</v>
      </c>
      <c r="G157" s="2">
        <f t="shared" si="14"/>
        <v>7.0407722092704919E-2</v>
      </c>
      <c r="H157" s="2">
        <f>(SystemConstants!$B$6*F157)+(0.5*SystemConstants!$B$7*SystemConstants!$B$5*Data!E157^2)+(0.5*SystemConstants!$B$7*SystemConstants!$B$2*SystemConstants!$B$3*Data!E157^2)</f>
        <v>70.06831053993352</v>
      </c>
      <c r="I157" s="1"/>
      <c r="J157" s="1"/>
      <c r="K157" s="1"/>
    </row>
    <row r="158" spans="1:11" x14ac:dyDescent="0.45">
      <c r="A158" s="2">
        <f t="shared" si="11"/>
        <v>156</v>
      </c>
      <c r="B158" s="2">
        <f t="shared" si="12"/>
        <v>76.000000000000142</v>
      </c>
      <c r="C158" s="2">
        <f>2*Data!B158-80</f>
        <v>72.000000000000284</v>
      </c>
      <c r="D158" s="2">
        <v>0</v>
      </c>
      <c r="E158" s="7">
        <f t="shared" si="13"/>
        <v>0.35016260027953194</v>
      </c>
      <c r="F158" s="7">
        <f t="shared" si="15"/>
        <v>1.5650618315987685E-4</v>
      </c>
      <c r="G158" s="2">
        <f t="shared" si="14"/>
        <v>6.9936833765562562E-2</v>
      </c>
      <c r="H158" s="2">
        <f>(SystemConstants!$B$6*F158)+(0.5*SystemConstants!$B$7*SystemConstants!$B$5*Data!E158^2)+(0.5*SystemConstants!$B$7*SystemConstants!$B$2*SystemConstants!$B$3*Data!E158^2)</f>
        <v>70.130985296498253</v>
      </c>
      <c r="I158" s="1"/>
      <c r="J158" s="1"/>
      <c r="K158" s="1"/>
    </row>
    <row r="159" spans="1:11" x14ac:dyDescent="0.45">
      <c r="A159" s="2">
        <f t="shared" si="11"/>
        <v>157</v>
      </c>
      <c r="B159" s="2">
        <f t="shared" si="12"/>
        <v>76.166666666666814</v>
      </c>
      <c r="C159" s="2">
        <f>2*Data!B159-80</f>
        <v>72.333333333333627</v>
      </c>
      <c r="D159" s="2">
        <v>0</v>
      </c>
      <c r="E159" s="7">
        <f t="shared" si="13"/>
        <v>0.35031754127507497</v>
      </c>
      <c r="F159" s="7">
        <f t="shared" si="15"/>
        <v>1.549409955430292E-4</v>
      </c>
      <c r="G159" s="2">
        <f t="shared" si="14"/>
        <v>6.9470447327089527E-2</v>
      </c>
      <c r="H159" s="2">
        <f>(SystemConstants!$B$6*F159)+(0.5*SystemConstants!$B$7*SystemConstants!$B$5*Data!E159^2)+(0.5*SystemConstants!$B$7*SystemConstants!$B$2*SystemConstants!$B$3*Data!E159^2)</f>
        <v>70.193060860413098</v>
      </c>
      <c r="I159" s="1"/>
      <c r="J159" s="1"/>
      <c r="K159" s="1"/>
    </row>
    <row r="160" spans="1:11" x14ac:dyDescent="0.45">
      <c r="A160" s="2">
        <f t="shared" si="11"/>
        <v>158</v>
      </c>
      <c r="B160" s="2">
        <f t="shared" si="12"/>
        <v>76.333333333333485</v>
      </c>
      <c r="C160" s="2">
        <f>2*Data!B160-80</f>
        <v>72.66666666666697</v>
      </c>
      <c r="D160" s="2">
        <v>0</v>
      </c>
      <c r="E160" s="7">
        <f t="shared" si="13"/>
        <v>0.3504709372056567</v>
      </c>
      <c r="F160" s="7">
        <f t="shared" si="15"/>
        <v>1.5339593058172341E-4</v>
      </c>
      <c r="G160" s="2">
        <f t="shared" si="14"/>
        <v>6.9008508439023036E-2</v>
      </c>
      <c r="H160" s="2">
        <f>(SystemConstants!$B$6*F160)+(0.5*SystemConstants!$B$7*SystemConstants!$B$5*Data!E160^2)+(0.5*SystemConstants!$B$7*SystemConstants!$B$2*SystemConstants!$B$3*Data!E160^2)</f>
        <v>70.254544466570763</v>
      </c>
      <c r="I160" s="1"/>
      <c r="J160" s="1"/>
      <c r="K160" s="1"/>
    </row>
    <row r="161" spans="1:11" x14ac:dyDescent="0.45">
      <c r="A161" s="2">
        <f t="shared" si="11"/>
        <v>159</v>
      </c>
      <c r="B161" s="2">
        <f t="shared" si="12"/>
        <v>76.500000000000156</v>
      </c>
      <c r="C161" s="2">
        <f>2*Data!B161-80</f>
        <v>73.000000000000313</v>
      </c>
      <c r="D161" s="2">
        <v>0</v>
      </c>
      <c r="E161" s="7">
        <f t="shared" si="13"/>
        <v>0.35062280788309863</v>
      </c>
      <c r="F161" s="7">
        <f t="shared" si="15"/>
        <v>1.5187067744193428E-4</v>
      </c>
      <c r="G161" s="2">
        <f t="shared" si="14"/>
        <v>6.8550963488075933E-2</v>
      </c>
      <c r="H161" s="2">
        <f>(SystemConstants!$B$6*F161)+(0.5*SystemConstants!$B$7*SystemConstants!$B$5*Data!E161^2)+(0.5*SystemConstants!$B$7*SystemConstants!$B$2*SystemConstants!$B$3*Data!E161^2)</f>
        <v>70.315443247585961</v>
      </c>
      <c r="I161" s="1"/>
      <c r="J161" s="1"/>
      <c r="K161" s="1"/>
    </row>
    <row r="162" spans="1:11" x14ac:dyDescent="0.45">
      <c r="A162" s="2">
        <f t="shared" si="11"/>
        <v>160</v>
      </c>
      <c r="B162" s="2">
        <f t="shared" si="12"/>
        <v>76.666666666666828</v>
      </c>
      <c r="C162" s="2">
        <f>2*Data!B162-80</f>
        <v>73.333333333333655</v>
      </c>
      <c r="D162" s="2">
        <v>0</v>
      </c>
      <c r="E162" s="7">
        <f t="shared" si="13"/>
        <v>0.35077317281400155</v>
      </c>
      <c r="F162" s="7">
        <f t="shared" si="15"/>
        <v>1.5036493090292424E-4</v>
      </c>
      <c r="G162" s="2">
        <f t="shared" si="14"/>
        <v>6.8097759656074286E-2</v>
      </c>
      <c r="H162" s="2">
        <f>(SystemConstants!$B$6*F162)+(0.5*SystemConstants!$B$7*SystemConstants!$B$5*Data!E162^2)+(0.5*SystemConstants!$B$7*SystemConstants!$B$2*SystemConstants!$B$3*Data!E162^2)</f>
        <v>70.3757642354269</v>
      </c>
      <c r="I162" s="1"/>
      <c r="J162" s="1"/>
      <c r="K162" s="1"/>
    </row>
    <row r="163" spans="1:11" x14ac:dyDescent="0.45">
      <c r="A163" s="2">
        <f t="shared" si="11"/>
        <v>161</v>
      </c>
      <c r="B163" s="2">
        <f t="shared" si="12"/>
        <v>76.833333333333499</v>
      </c>
      <c r="C163" s="2">
        <f>2*Data!B163-80</f>
        <v>73.666666666666998</v>
      </c>
      <c r="D163" s="2">
        <v>0</v>
      </c>
      <c r="E163" s="7">
        <f t="shared" si="13"/>
        <v>0.35092205120501774</v>
      </c>
      <c r="F163" s="7">
        <f t="shared" si="15"/>
        <v>1.4887839101618283E-4</v>
      </c>
      <c r="G163" s="2">
        <f t="shared" si="14"/>
        <v>6.7648844862440244E-2</v>
      </c>
      <c r="H163" s="2">
        <f>(SystemConstants!$B$6*F163)+(0.5*SystemConstants!$B$7*SystemConstants!$B$5*Data!E163^2)+(0.5*SystemConstants!$B$7*SystemConstants!$B$2*SystemConstants!$B$3*Data!E163^2)</f>
        <v>70.435514362928259</v>
      </c>
      <c r="I163" s="1"/>
      <c r="J163" s="1"/>
      <c r="K163" s="1"/>
    </row>
    <row r="164" spans="1:11" x14ac:dyDescent="0.45">
      <c r="A164" s="2">
        <f t="shared" si="11"/>
        <v>162</v>
      </c>
      <c r="B164" s="2">
        <f t="shared" si="12"/>
        <v>77.000000000000171</v>
      </c>
      <c r="C164" s="2">
        <f>2*Data!B164-80</f>
        <v>74.000000000000341</v>
      </c>
      <c r="D164" s="2">
        <v>0</v>
      </c>
      <c r="E164" s="7">
        <f t="shared" si="13"/>
        <v>0.35106946196820843</v>
      </c>
      <c r="F164" s="7">
        <f t="shared" si="15"/>
        <v>1.474107631906918E-4</v>
      </c>
      <c r="G164" s="2">
        <f t="shared" si="14"/>
        <v>6.7204167713964716E-2</v>
      </c>
      <c r="H164" s="2">
        <f>(SystemConstants!$B$6*F164)+(0.5*SystemConstants!$B$7*SystemConstants!$B$5*Data!E164^2)+(0.5*SystemConstants!$B$7*SystemConstants!$B$2*SystemConstants!$B$3*Data!E164^2)</f>
        <v>70.494700465356033</v>
      </c>
      <c r="I164" s="1"/>
      <c r="J164" s="1"/>
      <c r="K164" s="1"/>
    </row>
    <row r="165" spans="1:11" x14ac:dyDescent="0.45">
      <c r="A165" s="2">
        <f t="shared" si="11"/>
        <v>163</v>
      </c>
      <c r="B165" s="2">
        <f t="shared" si="12"/>
        <v>77.166666666666842</v>
      </c>
      <c r="C165" s="2">
        <f>2*Data!B165-80</f>
        <v>74.333333333333684</v>
      </c>
      <c r="D165" s="2">
        <v>0</v>
      </c>
      <c r="E165" s="7">
        <f t="shared" si="13"/>
        <v>0.35121542372628767</v>
      </c>
      <c r="F165" s="7">
        <f t="shared" si="15"/>
        <v>1.4596175807923828E-4</v>
      </c>
      <c r="G165" s="2">
        <f t="shared" si="14"/>
        <v>6.6763677609956482E-2</v>
      </c>
      <c r="H165" s="2">
        <f>(SystemConstants!$B$6*F165)+(0.5*SystemConstants!$B$7*SystemConstants!$B$5*Data!E165^2)+(0.5*SystemConstants!$B$7*SystemConstants!$B$2*SystemConstants!$B$3*Data!E165^2)</f>
        <v>70.553329281943746</v>
      </c>
      <c r="I165" s="1"/>
      <c r="J165" s="1"/>
      <c r="K165" s="1"/>
    </row>
    <row r="166" spans="1:11" x14ac:dyDescent="0.45">
      <c r="A166" s="2">
        <f t="shared" si="11"/>
        <v>164</v>
      </c>
      <c r="B166" s="2">
        <f t="shared" si="12"/>
        <v>77.333333333333513</v>
      </c>
      <c r="C166" s="2">
        <f>2*Data!B166-80</f>
        <v>74.666666666667027</v>
      </c>
      <c r="D166" s="2">
        <v>0</v>
      </c>
      <c r="E166" s="7">
        <f t="shared" si="13"/>
        <v>0.35135995481753923</v>
      </c>
      <c r="F166" s="7">
        <f t="shared" si="15"/>
        <v>1.4453109125156516E-4</v>
      </c>
      <c r="G166" s="2">
        <f t="shared" si="14"/>
        <v>6.6327324625057874E-2</v>
      </c>
      <c r="H166" s="2">
        <f>(SystemConstants!$B$6*F166)+(0.5*SystemConstants!$B$7*SystemConstants!$B$5*Data!E166^2)+(0.5*SystemConstants!$B$7*SystemConstants!$B$2*SystemConstants!$B$3*Data!E166^2)</f>
        <v>70.611407457313717</v>
      </c>
      <c r="I166" s="1"/>
      <c r="J166" s="1"/>
      <c r="K166" s="1"/>
    </row>
    <row r="167" spans="1:11" x14ac:dyDescent="0.45">
      <c r="A167" s="2">
        <f t="shared" si="11"/>
        <v>165</v>
      </c>
      <c r="B167" s="2">
        <f t="shared" si="12"/>
        <v>77.500000000000185</v>
      </c>
      <c r="C167" s="2">
        <f>2*Data!B167-80</f>
        <v>75.000000000000369</v>
      </c>
      <c r="D167" s="2">
        <v>0</v>
      </c>
      <c r="E167" s="7">
        <f t="shared" si="13"/>
        <v>0.35150307330096098</v>
      </c>
      <c r="F167" s="7">
        <f t="shared" si="15"/>
        <v>1.4311848342174471E-4</v>
      </c>
      <c r="G167" s="2">
        <f t="shared" si="14"/>
        <v>6.5895059519104487E-2</v>
      </c>
      <c r="H167" s="2">
        <f>(SystemConstants!$B$6*F167)+(0.5*SystemConstants!$B$7*SystemConstants!$B$5*Data!E167^2)+(0.5*SystemConstants!$B$7*SystemConstants!$B$2*SystemConstants!$B$3*Data!E167^2)</f>
        <v>70.668941543006383</v>
      </c>
      <c r="I167" s="1"/>
      <c r="J167" s="1"/>
      <c r="K167" s="1"/>
    </row>
    <row r="168" spans="1:11" x14ac:dyDescent="0.45">
      <c r="A168" s="2">
        <f t="shared" si="11"/>
        <v>166</v>
      </c>
      <c r="B168" s="2">
        <f t="shared" si="12"/>
        <v>77.666666666666856</v>
      </c>
      <c r="C168" s="2">
        <f>2*Data!B168-80</f>
        <v>75.333333333333712</v>
      </c>
      <c r="D168" s="2">
        <v>0</v>
      </c>
      <c r="E168" s="7">
        <f t="shared" si="13"/>
        <v>0.35164479696118178</v>
      </c>
      <c r="F168" s="7">
        <f t="shared" si="15"/>
        <v>1.4172366022080496E-4</v>
      </c>
      <c r="G168" s="2">
        <f t="shared" si="14"/>
        <v>6.546683377980822E-2</v>
      </c>
      <c r="H168" s="2">
        <f>(SystemConstants!$B$6*F168)+(0.5*SystemConstants!$B$7*SystemConstants!$B$5*Data!E168^2)+(0.5*SystemConstants!$B$7*SystemConstants!$B$2*SystemConstants!$B$3*Data!E168^2)</f>
        <v>70.725937998933247</v>
      </c>
      <c r="I168" s="1"/>
      <c r="J168" s="1"/>
      <c r="K168" s="1"/>
    </row>
    <row r="169" spans="1:11" x14ac:dyDescent="0.45">
      <c r="A169" s="2">
        <f t="shared" si="11"/>
        <v>167</v>
      </c>
      <c r="B169" s="2">
        <f t="shared" si="12"/>
        <v>77.833333333333528</v>
      </c>
      <c r="C169" s="2">
        <f>2*Data!B169-80</f>
        <v>75.666666666667055</v>
      </c>
      <c r="D169" s="2">
        <v>0</v>
      </c>
      <c r="E169" s="7">
        <f t="shared" si="13"/>
        <v>0.35178514331308008</v>
      </c>
      <c r="F169" s="7">
        <f t="shared" si="15"/>
        <v>1.4034635189830169E-4</v>
      </c>
      <c r="G169" s="2">
        <f t="shared" si="14"/>
        <v>6.5042599520292482E-2</v>
      </c>
      <c r="H169" s="2">
        <f>(SystemConstants!$B$6*F169)+(0.5*SystemConstants!$B$7*SystemConstants!$B$5*Data!E169^2)+(0.5*SystemConstants!$B$7*SystemConstants!$B$2*SystemConstants!$B$3*Data!E169^2)</f>
        <v>70.782403194724992</v>
      </c>
      <c r="I169" s="1"/>
      <c r="J169" s="1"/>
      <c r="K169" s="1"/>
    </row>
    <row r="170" spans="1:11" x14ac:dyDescent="0.45">
      <c r="A170" s="2">
        <f t="shared" si="11"/>
        <v>168</v>
      </c>
      <c r="B170" s="2">
        <f t="shared" si="12"/>
        <v>78.000000000000199</v>
      </c>
      <c r="C170" s="2">
        <f>2*Data!B170-80</f>
        <v>76.000000000000398</v>
      </c>
      <c r="D170" s="2">
        <v>0</v>
      </c>
      <c r="E170" s="7">
        <f t="shared" si="13"/>
        <v>0.3519241296066582</v>
      </c>
      <c r="F170" s="7">
        <f t="shared" si="15"/>
        <v>1.3898629357811387E-4</v>
      </c>
      <c r="G170" s="2">
        <f t="shared" si="14"/>
        <v>6.4622309563453328E-2</v>
      </c>
      <c r="H170" s="2">
        <f>(SystemConstants!$B$6*F170)+(0.5*SystemConstants!$B$7*SystemConstants!$B$5*Data!E170^2)+(0.5*SystemConstants!$B$7*SystemConstants!$B$2*SystemConstants!$B$3*Data!E170^2)</f>
        <v>70.838343411197656</v>
      </c>
      <c r="I170" s="1"/>
      <c r="J170" s="1"/>
      <c r="K170" s="1"/>
    </row>
    <row r="171" spans="1:11" x14ac:dyDescent="0.45">
      <c r="A171" s="2">
        <f t="shared" si="11"/>
        <v>169</v>
      </c>
      <c r="B171" s="2">
        <f t="shared" si="12"/>
        <v>78.16666666666687</v>
      </c>
      <c r="C171" s="2">
        <f>2*Data!B171-80</f>
        <v>76.333333333333741</v>
      </c>
      <c r="D171" s="2">
        <v>0</v>
      </c>
      <c r="E171" s="7">
        <f t="shared" si="13"/>
        <v>0.35206177283161821</v>
      </c>
      <c r="F171" s="7">
        <f t="shared" si="15"/>
        <v>1.3764322496001569E-4</v>
      </c>
      <c r="G171" s="2">
        <f t="shared" si="14"/>
        <v>6.4205917386681299E-2</v>
      </c>
      <c r="H171" s="2">
        <f>(SystemConstants!$B$6*F171)+(0.5*SystemConstants!$B$7*SystemConstants!$B$5*Data!E171^2)+(0.5*SystemConstants!$B$7*SystemConstants!$B$2*SystemConstants!$B$3*Data!E171^2)</f>
        <v>70.893764841712425</v>
      </c>
      <c r="I171" s="1"/>
      <c r="J171" s="1"/>
      <c r="K171" s="1"/>
    </row>
    <row r="172" spans="1:11" x14ac:dyDescent="0.45">
      <c r="A172" s="2">
        <f t="shared" si="11"/>
        <v>170</v>
      </c>
      <c r="B172" s="2">
        <f t="shared" si="12"/>
        <v>78.333333333333542</v>
      </c>
      <c r="C172" s="2">
        <f>2*Data!B172-80</f>
        <v>76.666666666667084</v>
      </c>
      <c r="D172" s="2">
        <v>0</v>
      </c>
      <c r="E172" s="7">
        <f t="shared" si="13"/>
        <v>0.35219808972176736</v>
      </c>
      <c r="F172" s="7">
        <f t="shared" si="15"/>
        <v>1.3631689014914627E-4</v>
      </c>
      <c r="G172" s="2">
        <f t="shared" si="14"/>
        <v>6.3793377103516055E-2</v>
      </c>
      <c r="H172" s="2">
        <f>(SystemConstants!$B$6*F172)+(0.5*SystemConstants!$B$7*SystemConstants!$B$5*Data!E172^2)+(0.5*SystemConstants!$B$7*SystemConstants!$B$2*SystemConstants!$B$3*Data!E172^2)</f>
        <v>70.948673593480748</v>
      </c>
      <c r="I172" s="1"/>
      <c r="J172" s="1"/>
      <c r="K172" s="1"/>
    </row>
    <row r="173" spans="1:11" x14ac:dyDescent="0.45">
      <c r="A173" s="2">
        <f t="shared" si="11"/>
        <v>171</v>
      </c>
      <c r="B173" s="2">
        <f t="shared" si="12"/>
        <v>78.500000000000213</v>
      </c>
      <c r="C173" s="2">
        <f>2*Data!B173-80</f>
        <v>77.000000000000426</v>
      </c>
      <c r="D173" s="2">
        <v>0</v>
      </c>
      <c r="E173" s="7">
        <f t="shared" si="13"/>
        <v>0.35233309675965074</v>
      </c>
      <c r="F173" s="7">
        <f t="shared" si="15"/>
        <v>1.3500703788338342E-4</v>
      </c>
      <c r="G173" s="2">
        <f t="shared" si="14"/>
        <v>6.3384643443545288E-2</v>
      </c>
      <c r="H173" s="2">
        <f>(SystemConstants!$B$6*F173)+(0.5*SystemConstants!$B$7*SystemConstants!$B$5*Data!E173^2)+(0.5*SystemConstants!$B$7*SystemConstants!$B$2*SystemConstants!$B$3*Data!E173^2)</f>
        <v>71.003075688974732</v>
      </c>
      <c r="I173" s="1"/>
      <c r="J173" s="1"/>
      <c r="K173" s="1"/>
    </row>
    <row r="174" spans="1:11" x14ac:dyDescent="0.45">
      <c r="A174" s="2">
        <f t="shared" si="11"/>
        <v>172</v>
      </c>
      <c r="B174" s="2">
        <f t="shared" si="12"/>
        <v>78.666666666666885</v>
      </c>
      <c r="C174" s="2">
        <f>2*Data!B174-80</f>
        <v>77.333333333333769</v>
      </c>
      <c r="D174" s="2">
        <v>0</v>
      </c>
      <c r="E174" s="7">
        <f t="shared" si="13"/>
        <v>0.35246681018078618</v>
      </c>
      <c r="F174" s="7">
        <f t="shared" si="15"/>
        <v>1.337134211354396E-4</v>
      </c>
      <c r="G174" s="2">
        <f t="shared" si="14"/>
        <v>6.2979671805876117E-2</v>
      </c>
      <c r="H174" s="2">
        <f>(SystemConstants!$B$6*F174)+(0.5*SystemConstants!$B$7*SystemConstants!$B$5*Data!E174^2)+(0.5*SystemConstants!$B$7*SystemConstants!$B$2*SystemConstants!$B$3*Data!E174^2)</f>
        <v>71.056977067189862</v>
      </c>
      <c r="I174" s="1"/>
      <c r="J174" s="1"/>
      <c r="K174" s="1"/>
    </row>
    <row r="175" spans="1:11" x14ac:dyDescent="0.45">
      <c r="A175" s="2">
        <f t="shared" si="11"/>
        <v>173</v>
      </c>
      <c r="B175" s="2">
        <f t="shared" si="12"/>
        <v>78.833333333333556</v>
      </c>
      <c r="C175" s="2">
        <f>2*Data!B175-80</f>
        <v>77.666666666667112</v>
      </c>
      <c r="D175" s="2">
        <v>0</v>
      </c>
      <c r="E175" s="7">
        <f t="shared" si="13"/>
        <v>0.35259924597785641</v>
      </c>
      <c r="F175" s="7">
        <f t="shared" si="15"/>
        <v>1.3243579707022946E-4</v>
      </c>
      <c r="G175" s="2">
        <f t="shared" si="14"/>
        <v>6.2578418197394264E-2</v>
      </c>
      <c r="H175" s="2">
        <f>(SystemConstants!$B$6*F175)+(0.5*SystemConstants!$B$7*SystemConstants!$B$5*Data!E175^2)+(0.5*SystemConstants!$B$7*SystemConstants!$B$2*SystemConstants!$B$3*Data!E175^2)</f>
        <v>71.110383584903275</v>
      </c>
      <c r="I175" s="1"/>
      <c r="J175" s="1"/>
      <c r="K175" s="1"/>
    </row>
    <row r="176" spans="1:11" x14ac:dyDescent="0.45">
      <c r="A176" s="2">
        <f t="shared" si="11"/>
        <v>174</v>
      </c>
      <c r="B176" s="2">
        <f t="shared" si="12"/>
        <v>79.000000000000227</v>
      </c>
      <c r="C176" s="2">
        <f>2*Data!B176-80</f>
        <v>78.000000000000455</v>
      </c>
      <c r="D176" s="2">
        <v>0</v>
      </c>
      <c r="E176" s="7">
        <f t="shared" si="13"/>
        <v>0.35273041990512866</v>
      </c>
      <c r="F176" s="7">
        <f t="shared" si="15"/>
        <v>1.3117392727224342E-4</v>
      </c>
      <c r="G176" s="2">
        <f t="shared" si="14"/>
        <v>6.2180839202739528E-2</v>
      </c>
      <c r="H176" s="2">
        <f>(SystemConstants!$B$6*F176)+(0.5*SystemConstants!$B$7*SystemConstants!$B$5*Data!E176^2)+(0.5*SystemConstants!$B$7*SystemConstants!$B$2*SystemConstants!$B$3*Data!E176^2)</f>
        <v>71.163301018036321</v>
      </c>
      <c r="I176" s="1"/>
      <c r="J176" s="1"/>
      <c r="K176" s="1"/>
    </row>
    <row r="177" spans="1:11" x14ac:dyDescent="0.45">
      <c r="A177" s="2">
        <f t="shared" si="11"/>
        <v>175</v>
      </c>
      <c r="B177" s="2">
        <f t="shared" si="12"/>
        <v>79.166666666666899</v>
      </c>
      <c r="C177" s="2">
        <f>2*Data!B177-80</f>
        <v>78.333333333333798</v>
      </c>
      <c r="D177" s="2">
        <v>0</v>
      </c>
      <c r="E177" s="7">
        <f t="shared" si="13"/>
        <v>0.35286034748227735</v>
      </c>
      <c r="F177" s="7">
        <f t="shared" si="15"/>
        <v>1.2992757714869185E-4</v>
      </c>
      <c r="G177" s="2">
        <f t="shared" si="14"/>
        <v>6.178689201732003E-2</v>
      </c>
      <c r="H177" s="2">
        <f>(SystemConstants!$B$6*F177)+(0.5*SystemConstants!$B$7*SystemConstants!$B$5*Data!E177^2)+(0.5*SystemConstants!$B$7*SystemConstants!$B$2*SystemConstants!$B$3*Data!E177^2)</f>
        <v>71.215735062787587</v>
      </c>
      <c r="I177" s="1"/>
      <c r="J177" s="1"/>
      <c r="K177" s="1"/>
    </row>
    <row r="178" spans="1:11" x14ac:dyDescent="0.45">
      <c r="A178" s="2">
        <f t="shared" si="11"/>
        <v>176</v>
      </c>
      <c r="B178" s="2">
        <f t="shared" si="12"/>
        <v>79.33333333333357</v>
      </c>
      <c r="C178" s="2">
        <f>2*Data!B178-80</f>
        <v>78.66666666666714</v>
      </c>
      <c r="D178" s="2">
        <v>0</v>
      </c>
      <c r="E178" s="7">
        <f t="shared" si="13"/>
        <v>0.35298904399869002</v>
      </c>
      <c r="F178" s="7">
        <f t="shared" si="15"/>
        <v>1.286965164126741E-4</v>
      </c>
      <c r="G178" s="2">
        <f t="shared" si="14"/>
        <v>6.1396534444983955E-2</v>
      </c>
      <c r="H178" s="2">
        <f>(SystemConstants!$B$6*F178)+(0.5*SystemConstants!$B$7*SystemConstants!$B$5*Data!E178^2)+(0.5*SystemConstants!$B$7*SystemConstants!$B$2*SystemConstants!$B$3*Data!E178^2)</f>
        <v>71.267691336973414</v>
      </c>
      <c r="I178" s="1"/>
      <c r="J178" s="1"/>
      <c r="K178" s="1"/>
    </row>
    <row r="179" spans="1:11" x14ac:dyDescent="0.45">
      <c r="A179" s="2">
        <f t="shared" si="11"/>
        <v>177</v>
      </c>
      <c r="B179" s="2">
        <f t="shared" si="12"/>
        <v>79.500000000000242</v>
      </c>
      <c r="C179" s="2">
        <f>2*Data!B179-80</f>
        <v>79.000000000000483</v>
      </c>
      <c r="D179" s="2">
        <v>0</v>
      </c>
      <c r="E179" s="7">
        <f t="shared" si="13"/>
        <v>0.3531165245171195</v>
      </c>
      <c r="F179" s="7">
        <f t="shared" si="15"/>
        <v>1.2748051842947916E-4</v>
      </c>
      <c r="G179" s="2">
        <f t="shared" si="14"/>
        <v>6.1009724859064203E-2</v>
      </c>
      <c r="H179" s="2">
        <f>(SystemConstants!$B$6*F179)+(0.5*SystemConstants!$B$7*SystemConstants!$B$5*Data!E179^2)+(0.5*SystemConstants!$B$7*SystemConstants!$B$2*SystemConstants!$B$3*Data!E179^2)</f>
        <v>71.319175381114675</v>
      </c>
      <c r="I179" s="1"/>
      <c r="J179" s="1"/>
      <c r="K179" s="1"/>
    </row>
    <row r="180" spans="1:11" x14ac:dyDescent="0.45">
      <c r="A180" s="2">
        <f t="shared" si="11"/>
        <v>178</v>
      </c>
      <c r="B180" s="2">
        <f t="shared" si="12"/>
        <v>79.666666666666913</v>
      </c>
      <c r="C180" s="2">
        <f>2*Data!B180-80</f>
        <v>79.333333333333826</v>
      </c>
      <c r="D180" s="2">
        <v>0</v>
      </c>
      <c r="E180" s="7">
        <f t="shared" si="13"/>
        <v>0.35324280387784768</v>
      </c>
      <c r="F180" s="7">
        <f t="shared" si="15"/>
        <v>1.2627936072817647E-4</v>
      </c>
      <c r="G180" s="2">
        <f t="shared" si="14"/>
        <v>6.0626422203116218E-2</v>
      </c>
      <c r="H180" s="2">
        <f>(SystemConstants!$B$6*F180)+(0.5*SystemConstants!$B$7*SystemConstants!$B$5*Data!E180^2)+(0.5*SystemConstants!$B$7*SystemConstants!$B$2*SystemConstants!$B$3*Data!E180^2)</f>
        <v>71.370192659742131</v>
      </c>
      <c r="I180" s="1"/>
      <c r="J180" s="1"/>
      <c r="K180" s="1"/>
    </row>
    <row r="181" spans="1:11" x14ac:dyDescent="0.45">
      <c r="A181" s="2">
        <f t="shared" si="11"/>
        <v>179</v>
      </c>
      <c r="B181" s="2">
        <f t="shared" si="12"/>
        <v>79.833333333333584</v>
      </c>
      <c r="C181" s="2">
        <f>2*Data!B181-80</f>
        <v>79.666666666667169</v>
      </c>
      <c r="D181" s="2">
        <v>0</v>
      </c>
      <c r="E181" s="7">
        <f t="shared" si="13"/>
        <v>0.35336789670230928</v>
      </c>
      <c r="F181" s="7">
        <f t="shared" si="15"/>
        <v>1.2509282446160341E-4</v>
      </c>
      <c r="G181" s="2">
        <f t="shared" si="14"/>
        <v>6.0246585972788855E-2</v>
      </c>
      <c r="H181" s="2">
        <f>(SystemConstants!$B$6*F181)+(0.5*SystemConstants!$B$7*SystemConstants!$B$5*Data!E181^2)+(0.5*SystemConstants!$B$7*SystemConstants!$B$2*SystemConstants!$B$3*Data!E181^2)</f>
        <v>71.42074856249333</v>
      </c>
      <c r="I181" s="1"/>
      <c r="J181" s="1"/>
      <c r="K181" s="1"/>
    </row>
    <row r="182" spans="1:11" x14ac:dyDescent="0.45">
      <c r="A182" s="3">
        <f t="shared" si="11"/>
        <v>180</v>
      </c>
      <c r="B182" s="3">
        <f t="shared" si="12"/>
        <v>80.000000000000256</v>
      </c>
      <c r="C182" s="3">
        <f>2*Data!B182-80</f>
        <v>80.000000000000512</v>
      </c>
      <c r="D182" s="3">
        <v>0</v>
      </c>
      <c r="E182" s="6">
        <f t="shared" si="13"/>
        <v>0.35349181739682933</v>
      </c>
      <c r="F182" s="6">
        <f t="shared" si="15"/>
        <v>1.2392069452005217E-4</v>
      </c>
      <c r="G182" s="2">
        <f t="shared" si="14"/>
        <v>5.9870176244881924E-2</v>
      </c>
      <c r="H182" s="3">
        <f>(SystemConstants!$B$6*F182)+(0.5*SystemConstants!$B$7*SystemConstants!$B$5*Data!E182^2)+(0.5*SystemConstants!$B$7*SystemConstants!$B$2*SystemConstants!$B$3*Data!E182^2)</f>
        <v>71.470848405266324</v>
      </c>
      <c r="I182" s="11"/>
      <c r="J182" s="11"/>
      <c r="K182" s="11"/>
    </row>
    <row r="183" spans="1:11" x14ac:dyDescent="0.45">
      <c r="A183" s="2">
        <f t="shared" si="11"/>
        <v>181</v>
      </c>
      <c r="B183" s="2">
        <f>(B182-(60/180))</f>
        <v>79.666666666666927</v>
      </c>
      <c r="C183" s="2">
        <v>80</v>
      </c>
      <c r="D183" s="2">
        <v>0</v>
      </c>
      <c r="E183" s="7">
        <f t="shared" si="13"/>
        <v>0.23545622490154017</v>
      </c>
      <c r="F183" s="7">
        <f t="shared" si="15"/>
        <v>-0.11803559249528917</v>
      </c>
      <c r="G183" s="2">
        <f t="shared" si="14"/>
        <v>0.11961523230727829</v>
      </c>
      <c r="H183" s="2">
        <f>(SystemConstants!$B$6*F183)+(0.5*SystemConstants!$B$7*SystemConstants!$B$5*Data!E183^2)+(0.5*SystemConstants!$B$7*SystemConstants!$B$2*SystemConstants!$B$3*Data!E183^2)</f>
        <v>31.591494579594169</v>
      </c>
      <c r="I183" s="1"/>
      <c r="J183" s="1"/>
      <c r="K183" s="1"/>
    </row>
    <row r="184" spans="1:11" x14ac:dyDescent="0.45">
      <c r="A184" s="2">
        <f t="shared" si="11"/>
        <v>182</v>
      </c>
      <c r="B184" s="2">
        <f t="shared" ref="B184:B247" si="16">(B183-(60/180))</f>
        <v>79.333333333333599</v>
      </c>
      <c r="C184" s="2">
        <v>80</v>
      </c>
      <c r="D184" s="2">
        <v>0</v>
      </c>
      <c r="E184" s="7">
        <f t="shared" si="13"/>
        <v>0.23496209827975179</v>
      </c>
      <c r="F184" s="7">
        <f t="shared" si="15"/>
        <v>-4.9412662178838218E-4</v>
      </c>
      <c r="G184" s="2">
        <f t="shared" si="14"/>
        <v>0.12011466377798154</v>
      </c>
      <c r="H184" s="2">
        <f>(SystemConstants!$B$6*F184)+(0.5*SystemConstants!$B$7*SystemConstants!$B$5*Data!E184^2)+(0.5*SystemConstants!$B$7*SystemConstants!$B$2*SystemConstants!$B$3*Data!E184^2)</f>
        <v>31.576084945040808</v>
      </c>
      <c r="I184" s="1"/>
      <c r="J184" s="1"/>
      <c r="K184" s="1"/>
    </row>
    <row r="185" spans="1:11" x14ac:dyDescent="0.45">
      <c r="A185" s="2">
        <f t="shared" si="11"/>
        <v>183</v>
      </c>
      <c r="B185" s="2">
        <f t="shared" si="16"/>
        <v>79.00000000000027</v>
      </c>
      <c r="C185" s="2">
        <v>80</v>
      </c>
      <c r="D185" s="2">
        <v>0</v>
      </c>
      <c r="E185" s="7">
        <f t="shared" si="13"/>
        <v>0.23446487376392611</v>
      </c>
      <c r="F185" s="7">
        <f t="shared" si="15"/>
        <v>-4.9722451582567828E-4</v>
      </c>
      <c r="G185" s="2">
        <f t="shared" si="14"/>
        <v>0.12061616731087633</v>
      </c>
      <c r="H185" s="2">
        <f>(SystemConstants!$B$6*F185)+(0.5*SystemConstants!$B$7*SystemConstants!$B$5*Data!E185^2)+(0.5*SystemConstants!$B$7*SystemConstants!$B$2*SystemConstants!$B$3*Data!E185^2)</f>
        <v>31.442579153952693</v>
      </c>
      <c r="I185" s="1"/>
      <c r="J185" s="1"/>
      <c r="K185" s="1"/>
    </row>
    <row r="186" spans="1:11" x14ac:dyDescent="0.45">
      <c r="A186" s="2">
        <f t="shared" si="11"/>
        <v>184</v>
      </c>
      <c r="B186" s="2">
        <f t="shared" si="16"/>
        <v>78.666666666666941</v>
      </c>
      <c r="C186" s="2">
        <v>80</v>
      </c>
      <c r="D186" s="2">
        <v>0</v>
      </c>
      <c r="E186" s="7">
        <f t="shared" si="13"/>
        <v>0.23396453204179579</v>
      </c>
      <c r="F186" s="7">
        <f t="shared" si="15"/>
        <v>-5.0034172213031525E-4</v>
      </c>
      <c r="G186" s="2">
        <f t="shared" si="14"/>
        <v>0.1211197424532298</v>
      </c>
      <c r="H186" s="2">
        <f>(SystemConstants!$B$6*F186)+(0.5*SystemConstants!$B$7*SystemConstants!$B$5*Data!E186^2)+(0.5*SystemConstants!$B$7*SystemConstants!$B$2*SystemConstants!$B$3*Data!E186^2)</f>
        <v>31.308521868221867</v>
      </c>
      <c r="I186" s="1"/>
      <c r="J186" s="1"/>
      <c r="K186" s="1"/>
    </row>
    <row r="187" spans="1:11" x14ac:dyDescent="0.45">
      <c r="A187" s="2">
        <f t="shared" si="11"/>
        <v>185</v>
      </c>
      <c r="B187" s="2">
        <f t="shared" si="16"/>
        <v>78.333333333333613</v>
      </c>
      <c r="C187" s="2">
        <v>80</v>
      </c>
      <c r="D187" s="2">
        <v>0</v>
      </c>
      <c r="E187" s="7">
        <f t="shared" si="13"/>
        <v>0.23346105373805415</v>
      </c>
      <c r="F187" s="7">
        <f t="shared" si="15"/>
        <v>-5.0347830374164459E-4</v>
      </c>
      <c r="G187" s="2">
        <f t="shared" si="14"/>
        <v>0.1216253885431049</v>
      </c>
      <c r="H187" s="2">
        <f>(SystemConstants!$B$6*F187)+(0.5*SystemConstants!$B$7*SystemConstants!$B$5*Data!E187^2)+(0.5*SystemConstants!$B$7*SystemConstants!$B$2*SystemConstants!$B$3*Data!E187^2)</f>
        <v>31.173913265809869</v>
      </c>
      <c r="I187" s="1"/>
      <c r="J187" s="1"/>
      <c r="K187" s="1"/>
    </row>
    <row r="188" spans="1:11" x14ac:dyDescent="0.45">
      <c r="A188" s="2">
        <f t="shared" si="11"/>
        <v>186</v>
      </c>
      <c r="B188" s="2">
        <f t="shared" si="16"/>
        <v>78.000000000000284</v>
      </c>
      <c r="C188" s="2">
        <v>80</v>
      </c>
      <c r="D188" s="2">
        <v>0</v>
      </c>
      <c r="E188" s="7">
        <f t="shared" si="13"/>
        <v>0.23295441941550621</v>
      </c>
      <c r="F188" s="7">
        <f t="shared" si="15"/>
        <v>-5.0663432254793861E-4</v>
      </c>
      <c r="G188" s="2">
        <f t="shared" si="14"/>
        <v>0.12213310467793655</v>
      </c>
      <c r="H188" s="2">
        <f>(SystemConstants!$B$6*F188)+(0.5*SystemConstants!$B$7*SystemConstants!$B$5*Data!E188^2)+(0.5*SystemConstants!$B$7*SystemConstants!$B$2*SystemConstants!$B$3*Data!E188^2)</f>
        <v>31.038753586447378</v>
      </c>
      <c r="I188" s="1"/>
      <c r="J188" s="1"/>
      <c r="K188" s="1"/>
    </row>
    <row r="189" spans="1:11" x14ac:dyDescent="0.45">
      <c r="A189" s="2">
        <f t="shared" si="11"/>
        <v>187</v>
      </c>
      <c r="B189" s="2">
        <f t="shared" si="16"/>
        <v>77.666666666666956</v>
      </c>
      <c r="C189" s="2">
        <v>80</v>
      </c>
      <c r="D189" s="2">
        <v>0</v>
      </c>
      <c r="E189" s="7">
        <f t="shared" si="13"/>
        <v>0.23244460957640456</v>
      </c>
      <c r="F189" s="7">
        <f t="shared" si="15"/>
        <v>-5.0980983910164923E-4</v>
      </c>
      <c r="G189" s="2">
        <f t="shared" si="14"/>
        <v>0.12264288972554906</v>
      </c>
      <c r="H189" s="2">
        <f>(SystemConstants!$B$6*F189)+(0.5*SystemConstants!$B$7*SystemConstants!$B$5*Data!E189^2)+(0.5*SystemConstants!$B$7*SystemConstants!$B$2*SystemConstants!$B$3*Data!E189^2)</f>
        <v>30.903043132867388</v>
      </c>
      <c r="I189" s="1"/>
      <c r="J189" s="1"/>
      <c r="K189" s="1"/>
    </row>
    <row r="190" spans="1:11" x14ac:dyDescent="0.45">
      <c r="A190" s="2">
        <f t="shared" si="11"/>
        <v>188</v>
      </c>
      <c r="B190" s="2">
        <f t="shared" si="16"/>
        <v>77.333333333333627</v>
      </c>
      <c r="C190" s="2">
        <v>80</v>
      </c>
      <c r="D190" s="2">
        <v>0</v>
      </c>
      <c r="E190" s="7">
        <f t="shared" si="13"/>
        <v>0.23193160466395568</v>
      </c>
      <c r="F190" s="7">
        <f t="shared" si="15"/>
        <v>-5.130049124488778E-4</v>
      </c>
      <c r="G190" s="2">
        <f t="shared" si="14"/>
        <v>0.12315474229956408</v>
      </c>
      <c r="H190" s="2">
        <f>(SystemConstants!$B$6*F190)+(0.5*SystemConstants!$B$7*SystemConstants!$B$5*Data!E190^2)+(0.5*SystemConstants!$B$7*SystemConstants!$B$2*SystemConstants!$B$3*Data!E190^2)</f>
        <v>30.766782272086612</v>
      </c>
      <c r="I190" s="1"/>
      <c r="J190" s="1"/>
      <c r="K190" s="1"/>
    </row>
    <row r="191" spans="1:11" x14ac:dyDescent="0.45">
      <c r="A191" s="2">
        <f t="shared" si="11"/>
        <v>189</v>
      </c>
      <c r="B191" s="2">
        <f t="shared" si="16"/>
        <v>77.000000000000298</v>
      </c>
      <c r="C191" s="2">
        <v>80</v>
      </c>
      <c r="D191" s="2">
        <v>0</v>
      </c>
      <c r="E191" s="7">
        <f t="shared" si="13"/>
        <v>0.23141538506374104</v>
      </c>
      <c r="F191" s="7">
        <f t="shared" si="15"/>
        <v>-5.162196002146402E-4</v>
      </c>
      <c r="G191" s="2">
        <f t="shared" si="14"/>
        <v>0.12366866077658834</v>
      </c>
      <c r="H191" s="2">
        <f>(SystemConstants!$B$6*F191)+(0.5*SystemConstants!$B$7*SystemConstants!$B$5*Data!E191^2)+(0.5*SystemConstants!$B$7*SystemConstants!$B$2*SystemConstants!$B$3*Data!E191^2)</f>
        <v>30.629971436666377</v>
      </c>
      <c r="I191" s="1"/>
      <c r="J191" s="1"/>
      <c r="K191" s="1"/>
    </row>
    <row r="192" spans="1:11" x14ac:dyDescent="0.45">
      <c r="A192" s="2">
        <f t="shared" si="11"/>
        <v>190</v>
      </c>
      <c r="B192" s="2">
        <f t="shared" si="16"/>
        <v>76.66666666666697</v>
      </c>
      <c r="C192" s="2">
        <v>80</v>
      </c>
      <c r="D192" s="2">
        <v>0</v>
      </c>
      <c r="E192" s="7">
        <f t="shared" si="13"/>
        <v>0.23089593110552187</v>
      </c>
      <c r="F192" s="7">
        <f t="shared" si="15"/>
        <v>-5.1945395821917373E-4</v>
      </c>
      <c r="G192" s="2">
        <f t="shared" si="14"/>
        <v>0.12418464327791907</v>
      </c>
      <c r="H192" s="2">
        <f>(SystemConstants!$B$6*F192)+(0.5*SystemConstants!$B$7*SystemConstants!$B$5*Data!E192^2)+(0.5*SystemConstants!$B$7*SystemConstants!$B$2*SystemConstants!$B$3*Data!E192^2)</f>
        <v>30.492611126077879</v>
      </c>
      <c r="I192" s="1"/>
      <c r="J192" s="1"/>
      <c r="K192" s="1"/>
    </row>
    <row r="193" spans="1:11" x14ac:dyDescent="0.45">
      <c r="A193" s="2">
        <f t="shared" si="11"/>
        <v>191</v>
      </c>
      <c r="B193" s="2">
        <f t="shared" si="16"/>
        <v>76.333333333333641</v>
      </c>
      <c r="C193" s="2">
        <v>80</v>
      </c>
      <c r="D193" s="2">
        <v>0</v>
      </c>
      <c r="E193" s="7">
        <f t="shared" si="13"/>
        <v>0.23037322306453234</v>
      </c>
      <c r="F193" s="7">
        <f t="shared" si="15"/>
        <v>-5.2270804098952794E-4</v>
      </c>
      <c r="G193" s="2">
        <f t="shared" si="14"/>
        <v>0.12470268767512911</v>
      </c>
      <c r="H193" s="2">
        <f>(SystemConstants!$B$6*F193)+(0.5*SystemConstants!$B$7*SystemConstants!$B$5*Data!E193^2)+(0.5*SystemConstants!$B$7*SystemConstants!$B$2*SystemConstants!$B$3*Data!E193^2)</f>
        <v>30.354701907932853</v>
      </c>
      <c r="I193" s="1"/>
      <c r="J193" s="1"/>
      <c r="K193" s="1"/>
    </row>
    <row r="194" spans="1:11" x14ac:dyDescent="0.45">
      <c r="A194" s="2">
        <f t="shared" si="11"/>
        <v>192</v>
      </c>
      <c r="B194" s="2">
        <f t="shared" si="16"/>
        <v>76.000000000000313</v>
      </c>
      <c r="C194" s="2">
        <v>80</v>
      </c>
      <c r="D194" s="2">
        <v>0</v>
      </c>
      <c r="E194" s="7">
        <f t="shared" si="13"/>
        <v>0.22984724116342647</v>
      </c>
      <c r="F194" s="7">
        <f t="shared" si="15"/>
        <v>-5.2598190110586529E-4</v>
      </c>
      <c r="G194" s="2">
        <f t="shared" si="14"/>
        <v>0.12522279158099586</v>
      </c>
      <c r="H194" s="2">
        <f>(SystemConstants!$B$6*F194)+(0.5*SystemConstants!$B$7*SystemConstants!$B$5*Data!E194^2)+(0.5*SystemConstants!$B$7*SystemConstants!$B$2*SystemConstants!$B$3*Data!E194^2)</f>
        <v>30.216244419390154</v>
      </c>
      <c r="I194" s="1"/>
      <c r="J194" s="1"/>
      <c r="K194" s="1"/>
    </row>
    <row r="195" spans="1:11" x14ac:dyDescent="0.45">
      <c r="A195" s="2">
        <f t="shared" ref="A195:A258" si="17">A194+1</f>
        <v>193</v>
      </c>
      <c r="B195" s="2">
        <f t="shared" si="16"/>
        <v>75.666666666666984</v>
      </c>
      <c r="C195" s="2">
        <v>80</v>
      </c>
      <c r="D195" s="2">
        <v>0</v>
      </c>
      <c r="E195" s="7">
        <f t="shared" si="13"/>
        <v>0.2293179655738129</v>
      </c>
      <c r="F195" s="7">
        <f t="shared" si="15"/>
        <v>-5.292755896135759E-4</v>
      </c>
      <c r="G195" s="2">
        <f t="shared" si="14"/>
        <v>0.12574495231461708</v>
      </c>
      <c r="H195" s="2">
        <f>(SystemConstants!$B$6*F195)+(0.5*SystemConstants!$B$7*SystemConstants!$B$5*Data!E195^2)+(0.5*SystemConstants!$B$7*SystemConstants!$B$2*SystemConstants!$B$3*Data!E195^2)</f>
        <v>30.077239368453579</v>
      </c>
      <c r="I195" s="1"/>
      <c r="J195" s="1"/>
      <c r="K195" s="1"/>
    </row>
    <row r="196" spans="1:11" x14ac:dyDescent="0.45">
      <c r="A196" s="2">
        <f t="shared" si="17"/>
        <v>194</v>
      </c>
      <c r="B196" s="2">
        <f t="shared" si="16"/>
        <v>75.333333333333655</v>
      </c>
      <c r="C196" s="2">
        <v>80</v>
      </c>
      <c r="D196" s="2">
        <v>0</v>
      </c>
      <c r="E196" s="7">
        <f t="shared" ref="E196:E259" si="18">ABS((SQRT(B196^2+C196^2+D196^2)-SQRT(B195^2+C195^2+D195^2))/(A196-A195))</f>
        <v>0.22878537641811647</v>
      </c>
      <c r="F196" s="7">
        <f t="shared" si="15"/>
        <v>-5.3258915569642795E-4</v>
      </c>
      <c r="G196" s="2">
        <f t="shared" si="14"/>
        <v>0.12626916697147203</v>
      </c>
      <c r="H196" s="2">
        <f>(SystemConstants!$B$6*F196)+(0.5*SystemConstants!$B$7*SystemConstants!$B$5*Data!E196^2)+(0.5*SystemConstants!$B$7*SystemConstants!$B$2*SystemConstants!$B$3*Data!E196^2)</f>
        <v>29.937687535357835</v>
      </c>
      <c r="I196" s="1"/>
      <c r="J196" s="1"/>
      <c r="K196" s="1"/>
    </row>
    <row r="197" spans="1:11" x14ac:dyDescent="0.45">
      <c r="A197" s="2">
        <f t="shared" si="17"/>
        <v>195</v>
      </c>
      <c r="B197" s="2">
        <f t="shared" si="16"/>
        <v>75.000000000000327</v>
      </c>
      <c r="C197" s="2">
        <v>80</v>
      </c>
      <c r="D197" s="2">
        <v>0</v>
      </c>
      <c r="E197" s="7">
        <f t="shared" si="18"/>
        <v>0.22824945377129779</v>
      </c>
      <c r="F197" s="7">
        <f t="shared" si="15"/>
        <v>-5.3592264681867618E-4</v>
      </c>
      <c r="G197" s="2">
        <f t="shared" ref="G197:G260" si="19">DEGREES(ACOS( (B196*B197+C196*C197+D196*D197) / SQRT((B196^2+C196^2+D196^2)*(B197^2+C197^2+D197^2))))</f>
        <v>0.12679543232206369</v>
      </c>
      <c r="H197" s="2">
        <f>(SystemConstants!$B$6*F197)+(0.5*SystemConstants!$B$7*SystemConstants!$B$5*Data!E197^2)+(0.5*SystemConstants!$B$7*SystemConstants!$B$2*SystemConstants!$B$3*Data!E197^2)</f>
        <v>29.797589773917441</v>
      </c>
      <c r="I197" s="1"/>
      <c r="J197" s="1"/>
      <c r="K197" s="1"/>
    </row>
    <row r="198" spans="1:11" x14ac:dyDescent="0.45">
      <c r="A198" s="2">
        <f t="shared" si="17"/>
        <v>196</v>
      </c>
      <c r="B198" s="2">
        <f t="shared" si="16"/>
        <v>74.666666666666998</v>
      </c>
      <c r="C198" s="2">
        <v>80</v>
      </c>
      <c r="D198" s="2">
        <v>0</v>
      </c>
      <c r="E198" s="7">
        <f t="shared" si="18"/>
        <v>0.22771017766285695</v>
      </c>
      <c r="F198" s="7">
        <f t="shared" si="15"/>
        <v>-5.3927610844084484E-4</v>
      </c>
      <c r="G198" s="2">
        <f t="shared" si="19"/>
        <v>0.12732374488500778</v>
      </c>
      <c r="H198" s="2">
        <f>(SystemConstants!$B$6*F198)+(0.5*SystemConstants!$B$7*SystemConstants!$B$5*Data!E198^2)+(0.5*SystemConstants!$B$7*SystemConstants!$B$2*SystemConstants!$B$3*Data!E198^2)</f>
        <v>29.656947012951097</v>
      </c>
      <c r="I198" s="1"/>
      <c r="J198" s="1"/>
      <c r="K198" s="1"/>
    </row>
    <row r="199" spans="1:11" x14ac:dyDescent="0.45">
      <c r="A199" s="2">
        <f t="shared" si="17"/>
        <v>197</v>
      </c>
      <c r="B199" s="2">
        <f t="shared" si="16"/>
        <v>74.33333333333367</v>
      </c>
      <c r="C199" s="2">
        <v>80</v>
      </c>
      <c r="D199" s="2">
        <v>0</v>
      </c>
      <c r="E199" s="7">
        <f t="shared" si="18"/>
        <v>0.22716752807862406</v>
      </c>
      <c r="F199" s="7">
        <f t="shared" si="15"/>
        <v>-5.4264958423289045E-4</v>
      </c>
      <c r="G199" s="2">
        <f t="shared" si="19"/>
        <v>0.12785410088713595</v>
      </c>
      <c r="H199" s="2">
        <f>(SystemConstants!$B$6*F199)+(0.5*SystemConstants!$B$7*SystemConstants!$B$5*Data!E199^2)+(0.5*SystemConstants!$B$7*SystemConstants!$B$2*SystemConstants!$B$3*Data!E199^2)</f>
        <v>29.515760257649902</v>
      </c>
      <c r="I199" s="1"/>
      <c r="J199" s="1"/>
      <c r="K199" s="1"/>
    </row>
    <row r="200" spans="1:11" x14ac:dyDescent="0.45">
      <c r="A200" s="2">
        <f t="shared" si="17"/>
        <v>198</v>
      </c>
      <c r="B200" s="2">
        <f t="shared" si="16"/>
        <v>74.000000000000341</v>
      </c>
      <c r="C200" s="2">
        <v>80</v>
      </c>
      <c r="D200" s="2">
        <v>0</v>
      </c>
      <c r="E200" s="7">
        <f t="shared" si="18"/>
        <v>0.22662148496283407</v>
      </c>
      <c r="F200" s="7">
        <f t="shared" si="15"/>
        <v>-5.4604311578998477E-4</v>
      </c>
      <c r="G200" s="2">
        <f t="shared" si="19"/>
        <v>0.12838649625881399</v>
      </c>
      <c r="H200" s="2">
        <f>(SystemConstants!$B$6*F200)+(0.5*SystemConstants!$B$7*SystemConstants!$B$5*Data!E200^2)+(0.5*SystemConstants!$B$7*SystemConstants!$B$2*SystemConstants!$B$3*Data!E200^2)</f>
        <v>29.374030591020311</v>
      </c>
      <c r="I200" s="1"/>
      <c r="J200" s="1"/>
      <c r="K200" s="1"/>
    </row>
    <row r="201" spans="1:11" x14ac:dyDescent="0.45">
      <c r="A201" s="2">
        <f t="shared" si="17"/>
        <v>199</v>
      </c>
      <c r="B201" s="2">
        <f t="shared" si="16"/>
        <v>73.666666666667012</v>
      </c>
      <c r="C201" s="2">
        <v>80</v>
      </c>
      <c r="D201" s="2">
        <v>0</v>
      </c>
      <c r="E201" s="7">
        <f t="shared" si="18"/>
        <v>0.22607202822007366</v>
      </c>
      <c r="F201" s="7">
        <f t="shared" ref="F201:F264" si="20">(E201-E200)/(A201-A200)</f>
        <v>-5.4945674276041245E-4</v>
      </c>
      <c r="G201" s="2">
        <f t="shared" si="19"/>
        <v>0.12892092663493415</v>
      </c>
      <c r="H201" s="2">
        <f>(SystemConstants!$B$6*F201)+(0.5*SystemConstants!$B$7*SystemConstants!$B$5*Data!E201^2)+(0.5*SystemConstants!$B$7*SystemConstants!$B$2*SystemConstants!$B$3*Data!E201^2)</f>
        <v>29.231759175292826</v>
      </c>
      <c r="I201" s="1"/>
      <c r="J201" s="1"/>
      <c r="K201" s="1"/>
    </row>
    <row r="202" spans="1:11" x14ac:dyDescent="0.45">
      <c r="A202" s="2">
        <f t="shared" si="17"/>
        <v>200</v>
      </c>
      <c r="B202" s="2">
        <f t="shared" si="16"/>
        <v>73.333333333333684</v>
      </c>
      <c r="C202" s="2">
        <v>80</v>
      </c>
      <c r="D202" s="2">
        <v>0</v>
      </c>
      <c r="E202" s="7">
        <f t="shared" si="18"/>
        <v>0.22551913771742704</v>
      </c>
      <c r="F202" s="7">
        <f t="shared" si="20"/>
        <v>-5.528905026466191E-4</v>
      </c>
      <c r="G202" s="2">
        <f t="shared" si="19"/>
        <v>0.12945738733358</v>
      </c>
      <c r="H202" s="2">
        <f>(SystemConstants!$B$6*F202)+(0.5*SystemConstants!$B$7*SystemConstants!$B$5*Data!E202^2)+(0.5*SystemConstants!$B$7*SystemConstants!$B$2*SystemConstants!$B$3*Data!E202^2)</f>
        <v>29.088947253382031</v>
      </c>
      <c r="I202" s="1"/>
      <c r="J202" s="1"/>
      <c r="K202" s="1"/>
    </row>
    <row r="203" spans="1:11" x14ac:dyDescent="0.45">
      <c r="A203" s="2">
        <f t="shared" si="17"/>
        <v>201</v>
      </c>
      <c r="B203" s="2">
        <f t="shared" si="16"/>
        <v>73.000000000000355</v>
      </c>
      <c r="C203" s="2">
        <v>80</v>
      </c>
      <c r="D203" s="2">
        <v>0</v>
      </c>
      <c r="E203" s="7">
        <f t="shared" si="18"/>
        <v>0.22496279328663604</v>
      </c>
      <c r="F203" s="7">
        <f t="shared" si="20"/>
        <v>-5.5634443079100038E-4</v>
      </c>
      <c r="G203" s="2">
        <f t="shared" si="19"/>
        <v>0.12999587339412944</v>
      </c>
      <c r="H203" s="2">
        <f>(SystemConstants!$B$6*F203)+(0.5*SystemConstants!$B$7*SystemConstants!$B$5*Data!E203^2)+(0.5*SystemConstants!$B$7*SystemConstants!$B$2*SystemConstants!$B$3*Data!E203^2)</f>
        <v>28.94559615034882</v>
      </c>
      <c r="I203" s="1"/>
      <c r="J203" s="1"/>
      <c r="K203" s="1"/>
    </row>
    <row r="204" spans="1:11" x14ac:dyDescent="0.45">
      <c r="A204" s="2">
        <f t="shared" si="17"/>
        <v>202</v>
      </c>
      <c r="B204" s="2">
        <f t="shared" si="16"/>
        <v>72.666666666667027</v>
      </c>
      <c r="C204" s="2">
        <v>80</v>
      </c>
      <c r="D204" s="2">
        <v>0</v>
      </c>
      <c r="E204" s="7">
        <f t="shared" si="18"/>
        <v>0.2244029747262033</v>
      </c>
      <c r="F204" s="7">
        <f t="shared" si="20"/>
        <v>-5.5981856043274547E-4</v>
      </c>
      <c r="G204" s="2">
        <f t="shared" si="19"/>
        <v>0.13053637951669703</v>
      </c>
      <c r="H204" s="2">
        <f>(SystemConstants!$B$6*F204)+(0.5*SystemConstants!$B$7*SystemConstants!$B$5*Data!E204^2)+(0.5*SystemConstants!$B$7*SystemConstants!$B$2*SystemConstants!$B$3*Data!E204^2)</f>
        <v>28.801707274846549</v>
      </c>
      <c r="I204" s="1"/>
      <c r="J204" s="1"/>
      <c r="K204" s="1"/>
    </row>
    <row r="205" spans="1:11" x14ac:dyDescent="0.45">
      <c r="A205" s="2">
        <f t="shared" si="17"/>
        <v>203</v>
      </c>
      <c r="B205" s="2">
        <f t="shared" si="16"/>
        <v>72.333333333333698</v>
      </c>
      <c r="C205" s="2">
        <v>80</v>
      </c>
      <c r="D205" s="2">
        <v>0</v>
      </c>
      <c r="E205" s="7">
        <f t="shared" si="18"/>
        <v>0.22383966180377968</v>
      </c>
      <c r="F205" s="7">
        <f t="shared" si="20"/>
        <v>-5.6331292242361997E-4</v>
      </c>
      <c r="G205" s="2">
        <f t="shared" si="19"/>
        <v>0.13107890009218368</v>
      </c>
      <c r="H205" s="2">
        <f>(SystemConstants!$B$6*F205)+(0.5*SystemConstants!$B$7*SystemConstants!$B$5*Data!E205^2)+(0.5*SystemConstants!$B$7*SystemConstants!$B$2*SystemConstants!$B$3*Data!E205^2)</f>
        <v>28.657282120638925</v>
      </c>
      <c r="I205" s="1"/>
      <c r="J205" s="1"/>
      <c r="K205" s="1"/>
    </row>
    <row r="206" spans="1:11" x14ac:dyDescent="0.45">
      <c r="A206" s="2">
        <f t="shared" si="17"/>
        <v>204</v>
      </c>
      <c r="B206" s="2">
        <f t="shared" si="16"/>
        <v>72.000000000000369</v>
      </c>
      <c r="C206" s="2">
        <v>80</v>
      </c>
      <c r="D206" s="2">
        <v>0</v>
      </c>
      <c r="E206" s="7">
        <f t="shared" si="18"/>
        <v>0.22327283425839539</v>
      </c>
      <c r="F206" s="7">
        <f t="shared" si="20"/>
        <v>-5.6682754538428526E-4</v>
      </c>
      <c r="G206" s="2">
        <f t="shared" si="19"/>
        <v>0.13162342917623454</v>
      </c>
      <c r="H206" s="2">
        <f>(SystemConstants!$B$6*F206)+(0.5*SystemConstants!$B$7*SystemConstants!$B$5*Data!E206^2)+(0.5*SystemConstants!$B$7*SystemConstants!$B$2*SystemConstants!$B$3*Data!E206^2)</f>
        <v>28.512322268074882</v>
      </c>
      <c r="I206" s="1"/>
      <c r="J206" s="1"/>
      <c r="K206" s="1"/>
    </row>
    <row r="207" spans="1:11" x14ac:dyDescent="0.45">
      <c r="A207" s="2">
        <f t="shared" si="17"/>
        <v>205</v>
      </c>
      <c r="B207" s="2">
        <f t="shared" si="16"/>
        <v>71.666666666667041</v>
      </c>
      <c r="C207" s="2">
        <v>80</v>
      </c>
      <c r="D207" s="2">
        <v>0</v>
      </c>
      <c r="E207" s="7">
        <f t="shared" si="18"/>
        <v>0.22270247180286162</v>
      </c>
      <c r="F207" s="7">
        <f t="shared" si="20"/>
        <v>-5.703624555337683E-4</v>
      </c>
      <c r="G207" s="2">
        <f t="shared" si="19"/>
        <v>0.13216996051089194</v>
      </c>
      <c r="H207" s="2">
        <f>(SystemConstants!$B$6*F207)+(0.5*SystemConstants!$B$7*SystemConstants!$B$5*Data!E207^2)+(0.5*SystemConstants!$B$7*SystemConstants!$B$2*SystemConstants!$B$3*Data!E207^2)</f>
        <v>28.366829385605023</v>
      </c>
      <c r="I207" s="1"/>
      <c r="J207" s="1"/>
      <c r="K207" s="1"/>
    </row>
    <row r="208" spans="1:11" x14ac:dyDescent="0.45">
      <c r="A208" s="2">
        <f t="shared" si="17"/>
        <v>206</v>
      </c>
      <c r="B208" s="2">
        <f t="shared" si="16"/>
        <v>71.333333333333712</v>
      </c>
      <c r="C208" s="2">
        <v>80</v>
      </c>
      <c r="D208" s="2">
        <v>0</v>
      </c>
      <c r="E208" s="7">
        <f t="shared" si="18"/>
        <v>0.22212855412621479</v>
      </c>
      <c r="F208" s="7">
        <f t="shared" si="20"/>
        <v>-5.7391767664682902E-4</v>
      </c>
      <c r="G208" s="2">
        <f t="shared" si="19"/>
        <v>0.13271848749341347</v>
      </c>
      <c r="H208" s="2">
        <f>(SystemConstants!$B$6*F208)+(0.5*SystemConstants!$B$7*SystemConstants!$B$5*Data!E208^2)+(0.5*SystemConstants!$B$7*SystemConstants!$B$2*SystemConstants!$B$3*Data!E208^2)</f>
        <v>28.220805231305782</v>
      </c>
      <c r="I208" s="1"/>
      <c r="J208" s="1"/>
      <c r="K208" s="1"/>
    </row>
    <row r="209" spans="1:11" x14ac:dyDescent="0.45">
      <c r="A209" s="2">
        <f t="shared" si="17"/>
        <v>207</v>
      </c>
      <c r="B209" s="2">
        <f t="shared" si="16"/>
        <v>71.000000000000384</v>
      </c>
      <c r="C209" s="2">
        <v>80</v>
      </c>
      <c r="D209" s="2">
        <v>0</v>
      </c>
      <c r="E209" s="7">
        <f t="shared" si="18"/>
        <v>0.22155106089626031</v>
      </c>
      <c r="F209" s="7">
        <f t="shared" si="20"/>
        <v>-5.7749322995448438E-4</v>
      </c>
      <c r="G209" s="2">
        <f t="shared" si="19"/>
        <v>0.13326900316526707</v>
      </c>
      <c r="H209" s="2">
        <f>(SystemConstants!$B$6*F209)+(0.5*SystemConstants!$B$7*SystemConstants!$B$5*Data!E209^2)+(0.5*SystemConstants!$B$7*SystemConstants!$B$2*SystemConstants!$B$3*Data!E209^2)</f>
        <v>28.074251654425428</v>
      </c>
      <c r="I209" s="1"/>
      <c r="J209" s="1"/>
      <c r="K209" s="1"/>
    </row>
    <row r="210" spans="1:11" x14ac:dyDescent="0.45">
      <c r="A210" s="2">
        <f t="shared" si="17"/>
        <v>208</v>
      </c>
      <c r="B210" s="2">
        <f t="shared" si="16"/>
        <v>70.666666666667055</v>
      </c>
      <c r="C210" s="2">
        <v>80</v>
      </c>
      <c r="D210" s="2">
        <v>0</v>
      </c>
      <c r="E210" s="7">
        <f t="shared" si="18"/>
        <v>0.22096997176203104</v>
      </c>
      <c r="F210" s="7">
        <f t="shared" si="20"/>
        <v>-5.8108913422927344E-4</v>
      </c>
      <c r="G210" s="2">
        <f t="shared" si="19"/>
        <v>0.13382150024223191</v>
      </c>
      <c r="H210" s="2">
        <f>(SystemConstants!$B$6*F210)+(0.5*SystemConstants!$B$7*SystemConstants!$B$5*Data!E210^2)+(0.5*SystemConstants!$B$7*SystemConstants!$B$2*SystemConstants!$B$3*Data!E210^2)</f>
        <v>27.927170596904372</v>
      </c>
      <c r="I210" s="1"/>
      <c r="J210" s="1"/>
      <c r="K210" s="1"/>
    </row>
    <row r="211" spans="1:11" x14ac:dyDescent="0.45">
      <c r="A211" s="2">
        <f t="shared" si="17"/>
        <v>209</v>
      </c>
      <c r="B211" s="2">
        <f t="shared" si="16"/>
        <v>70.333333333333727</v>
      </c>
      <c r="C211" s="2">
        <v>80</v>
      </c>
      <c r="D211" s="2">
        <v>0</v>
      </c>
      <c r="E211" s="7">
        <f t="shared" si="18"/>
        <v>0.22038526635650157</v>
      </c>
      <c r="F211" s="7">
        <f t="shared" si="20"/>
        <v>-5.8470540552946204E-4</v>
      </c>
      <c r="G211" s="2">
        <f t="shared" si="19"/>
        <v>0.13437597105974369</v>
      </c>
      <c r="H211" s="2">
        <f>(SystemConstants!$B$6*F211)+(0.5*SystemConstants!$B$7*SystemConstants!$B$5*Data!E211^2)+(0.5*SystemConstants!$B$7*SystemConstants!$B$2*SystemConstants!$B$3*Data!E211^2)</f>
        <v>27.779564094956481</v>
      </c>
      <c r="I211" s="1"/>
      <c r="J211" s="1"/>
      <c r="K211" s="1"/>
    </row>
    <row r="212" spans="1:11" x14ac:dyDescent="0.45">
      <c r="A212" s="2">
        <f t="shared" si="17"/>
        <v>210</v>
      </c>
      <c r="B212" s="2">
        <f t="shared" si="16"/>
        <v>70.000000000000398</v>
      </c>
      <c r="C212" s="2">
        <v>80</v>
      </c>
      <c r="D212" s="2">
        <v>0</v>
      </c>
      <c r="E212" s="7">
        <f t="shared" si="18"/>
        <v>0.21979692429931674</v>
      </c>
      <c r="F212" s="7">
        <f t="shared" si="20"/>
        <v>-5.883420571848319E-4</v>
      </c>
      <c r="G212" s="2">
        <f t="shared" si="19"/>
        <v>0.13493240762775294</v>
      </c>
      <c r="H212" s="2">
        <f>(SystemConstants!$B$6*F212)+(0.5*SystemConstants!$B$7*SystemConstants!$B$5*Data!E212^2)+(0.5*SystemConstants!$B$7*SystemConstants!$B$2*SystemConstants!$B$3*Data!E212^2)</f>
        <v>27.631434280648651</v>
      </c>
      <c r="I212" s="1"/>
      <c r="J212" s="1"/>
      <c r="K212" s="1"/>
    </row>
    <row r="213" spans="1:11" x14ac:dyDescent="0.45">
      <c r="A213" s="2">
        <f t="shared" si="17"/>
        <v>211</v>
      </c>
      <c r="B213" s="2">
        <f t="shared" si="16"/>
        <v>69.666666666667069</v>
      </c>
      <c r="C213" s="2">
        <v>80</v>
      </c>
      <c r="D213" s="2">
        <v>0</v>
      </c>
      <c r="E213" s="7">
        <f t="shared" si="18"/>
        <v>0.21920492519940638</v>
      </c>
      <c r="F213" s="7">
        <f t="shared" si="20"/>
        <v>-5.9199909991036748E-4</v>
      </c>
      <c r="G213" s="2">
        <f t="shared" si="19"/>
        <v>0.13549080156319529</v>
      </c>
      <c r="H213" s="2">
        <f>(SystemConstants!$B$6*F213)+(0.5*SystemConstants!$B$7*SystemConstants!$B$5*Data!E213^2)+(0.5*SystemConstants!$B$7*SystemConstants!$B$2*SystemConstants!$B$3*Data!E213^2)</f>
        <v>27.482783383446421</v>
      </c>
      <c r="I213" s="1"/>
      <c r="J213" s="1"/>
      <c r="K213" s="1"/>
    </row>
    <row r="214" spans="1:11" x14ac:dyDescent="0.45">
      <c r="A214" s="2">
        <f t="shared" si="17"/>
        <v>212</v>
      </c>
      <c r="B214" s="2">
        <f t="shared" si="16"/>
        <v>69.333333333333741</v>
      </c>
      <c r="C214" s="2">
        <v>80</v>
      </c>
      <c r="D214" s="2">
        <v>0</v>
      </c>
      <c r="E214" s="7">
        <f t="shared" si="18"/>
        <v>0.2186092486579696</v>
      </c>
      <c r="F214" s="7">
        <f t="shared" si="20"/>
        <v>-5.9567654143677373E-4</v>
      </c>
      <c r="G214" s="2">
        <f t="shared" si="19"/>
        <v>0.13605114412069039</v>
      </c>
      <c r="H214" s="2">
        <f>(SystemConstants!$B$6*F214)+(0.5*SystemConstants!$B$7*SystemConstants!$B$5*Data!E214^2)+(0.5*SystemConstants!$B$7*SystemConstants!$B$2*SystemConstants!$B$3*Data!E214^2)</f>
        <v>27.333613731847343</v>
      </c>
      <c r="I214" s="1"/>
      <c r="J214" s="1"/>
      <c r="K214" s="1"/>
    </row>
    <row r="215" spans="1:11" x14ac:dyDescent="0.45">
      <c r="A215" s="2">
        <f t="shared" si="17"/>
        <v>213</v>
      </c>
      <c r="B215" s="2">
        <f t="shared" si="16"/>
        <v>69.000000000000412</v>
      </c>
      <c r="C215" s="2">
        <v>80</v>
      </c>
      <c r="D215" s="2">
        <v>0</v>
      </c>
      <c r="E215" s="7">
        <f t="shared" si="18"/>
        <v>0.21800987427123175</v>
      </c>
      <c r="F215" s="7">
        <f t="shared" si="20"/>
        <v>-5.9937438673784982E-4</v>
      </c>
      <c r="G215" s="2">
        <f t="shared" si="19"/>
        <v>0.13661342616915834</v>
      </c>
      <c r="H215" s="2">
        <f>(SystemConstants!$B$6*F215)+(0.5*SystemConstants!$B$7*SystemConstants!$B$5*Data!E215^2)+(0.5*SystemConstants!$B$7*SystemConstants!$B$2*SystemConstants!$B$3*Data!E215^2)</f>
        <v>27.183927754950204</v>
      </c>
      <c r="I215" s="1"/>
      <c r="J215" s="1"/>
      <c r="K215" s="1"/>
    </row>
    <row r="216" spans="1:11" x14ac:dyDescent="0.45">
      <c r="A216" s="2">
        <f t="shared" si="17"/>
        <v>214</v>
      </c>
      <c r="B216" s="2">
        <f t="shared" si="16"/>
        <v>68.666666666667084</v>
      </c>
      <c r="C216" s="2">
        <v>80</v>
      </c>
      <c r="D216" s="2">
        <v>0</v>
      </c>
      <c r="E216" s="7">
        <f t="shared" si="18"/>
        <v>0.2174067816335139</v>
      </c>
      <c r="F216" s="7">
        <f t="shared" si="20"/>
        <v>-6.0309263771785027E-4</v>
      </c>
      <c r="G216" s="2">
        <f t="shared" si="19"/>
        <v>0.13717763819838447</v>
      </c>
      <c r="H216" s="2">
        <f>(SystemConstants!$B$6*F216)+(0.5*SystemConstants!$B$7*SystemConstants!$B$5*Data!E216^2)+(0.5*SystemConstants!$B$7*SystemConstants!$B$2*SystemConstants!$B$3*Data!E216^2)</f>
        <v>27.033727984096423</v>
      </c>
      <c r="I216" s="1"/>
      <c r="J216" s="1"/>
      <c r="K216" s="1"/>
    </row>
    <row r="217" spans="1:11" x14ac:dyDescent="0.45">
      <c r="A217" s="2">
        <f t="shared" si="17"/>
        <v>215</v>
      </c>
      <c r="B217" s="2">
        <f t="shared" si="16"/>
        <v>68.333333333333755</v>
      </c>
      <c r="C217" s="2">
        <v>80</v>
      </c>
      <c r="D217" s="2">
        <v>0</v>
      </c>
      <c r="E217" s="7">
        <f t="shared" si="18"/>
        <v>0.21679995034016031</v>
      </c>
      <c r="F217" s="7">
        <f t="shared" si="20"/>
        <v>-6.0683129335359354E-4</v>
      </c>
      <c r="G217" s="2">
        <f t="shared" si="19"/>
        <v>0.13774377031744162</v>
      </c>
      <c r="H217" s="2">
        <f>(SystemConstants!$B$6*F217)+(0.5*SystemConstants!$B$7*SystemConstants!$B$5*Data!E217^2)+(0.5*SystemConstants!$B$7*SystemConstants!$B$2*SystemConstants!$B$3*Data!E217^2)</f>
        <v>26.883017054467981</v>
      </c>
      <c r="I217" s="1"/>
      <c r="J217" s="1"/>
      <c r="K217" s="1"/>
    </row>
    <row r="218" spans="1:11" x14ac:dyDescent="0.45">
      <c r="A218" s="2">
        <f t="shared" si="17"/>
        <v>216</v>
      </c>
      <c r="B218" s="2">
        <f t="shared" si="16"/>
        <v>68.000000000000426</v>
      </c>
      <c r="C218" s="2">
        <v>80</v>
      </c>
      <c r="D218" s="2">
        <v>0</v>
      </c>
      <c r="E218" s="7">
        <f t="shared" si="18"/>
        <v>0.21618935999069322</v>
      </c>
      <c r="F218" s="7">
        <f t="shared" si="20"/>
        <v>-6.1059034946708834E-4</v>
      </c>
      <c r="G218" s="2">
        <f t="shared" si="19"/>
        <v>0.13831181223755348</v>
      </c>
      <c r="H218" s="2">
        <f>(SystemConstants!$B$6*F218)+(0.5*SystemConstants!$B$7*SystemConstants!$B$5*Data!E218^2)+(0.5*SystemConstants!$B$7*SystemConstants!$B$2*SystemConstants!$B$3*Data!E218^2)</f>
        <v>26.731797706734607</v>
      </c>
      <c r="I218" s="1"/>
      <c r="J218" s="1"/>
      <c r="K218" s="1"/>
    </row>
    <row r="219" spans="1:11" x14ac:dyDescent="0.45">
      <c r="A219" s="2">
        <f t="shared" si="17"/>
        <v>217</v>
      </c>
      <c r="B219" s="2">
        <f t="shared" si="16"/>
        <v>67.666666666667098</v>
      </c>
      <c r="C219" s="2">
        <v>80</v>
      </c>
      <c r="D219" s="2">
        <v>0</v>
      </c>
      <c r="E219" s="7">
        <f t="shared" si="18"/>
        <v>0.21557499019199611</v>
      </c>
      <c r="F219" s="7">
        <f t="shared" si="20"/>
        <v>-6.1436979869711195E-4</v>
      </c>
      <c r="G219" s="2">
        <f t="shared" si="19"/>
        <v>0.13888175324217181</v>
      </c>
      <c r="H219" s="2">
        <f>(SystemConstants!$B$6*F219)+(0.5*SystemConstants!$B$7*SystemConstants!$B$5*Data!E219^2)+(0.5*SystemConstants!$B$7*SystemConstants!$B$2*SystemConstants!$B$3*Data!E219^2)</f>
        <v>26.580072788699145</v>
      </c>
      <c r="I219" s="1"/>
      <c r="J219" s="1"/>
      <c r="K219" s="1"/>
    </row>
    <row r="220" spans="1:11" x14ac:dyDescent="0.45">
      <c r="A220" s="2">
        <f t="shared" si="17"/>
        <v>218</v>
      </c>
      <c r="B220" s="2">
        <f t="shared" si="16"/>
        <v>67.333333333333769</v>
      </c>
      <c r="C220" s="2">
        <v>80</v>
      </c>
      <c r="D220" s="2">
        <v>0</v>
      </c>
      <c r="E220" s="7">
        <f t="shared" si="18"/>
        <v>0.2149568205614969</v>
      </c>
      <c r="F220" s="7">
        <f t="shared" si="20"/>
        <v>-6.1816963049921014E-4</v>
      </c>
      <c r="G220" s="2">
        <f t="shared" si="19"/>
        <v>0.13945358223122439</v>
      </c>
      <c r="H220" s="2">
        <f>(SystemConstants!$B$6*F220)+(0.5*SystemConstants!$B$7*SystemConstants!$B$5*Data!E220^2)+(0.5*SystemConstants!$B$7*SystemConstants!$B$2*SystemConstants!$B$3*Data!E220^2)</f>
        <v>26.427845256933924</v>
      </c>
      <c r="I220" s="1"/>
      <c r="J220" s="1"/>
      <c r="K220" s="1"/>
    </row>
    <row r="221" spans="1:11" x14ac:dyDescent="0.45">
      <c r="A221" s="2">
        <f t="shared" si="17"/>
        <v>219</v>
      </c>
      <c r="B221" s="2">
        <f t="shared" si="16"/>
        <v>67.000000000000441</v>
      </c>
      <c r="C221" s="2">
        <v>80</v>
      </c>
      <c r="D221" s="2">
        <v>0</v>
      </c>
      <c r="E221" s="7">
        <f t="shared" si="18"/>
        <v>0.21433483073046489</v>
      </c>
      <c r="F221" s="7">
        <f t="shared" si="20"/>
        <v>-6.2198983103201044E-4</v>
      </c>
      <c r="G221" s="2">
        <f t="shared" si="19"/>
        <v>0.14002728768868605</v>
      </c>
      <c r="H221" s="2">
        <f>(SystemConstants!$B$6*F221)+(0.5*SystemConstants!$B$7*SystemConstants!$B$5*Data!E221^2)+(0.5*SystemConstants!$B$7*SystemConstants!$B$2*SystemConstants!$B$3*Data!E221^2)</f>
        <v>26.275118178435743</v>
      </c>
      <c r="I221" s="1"/>
      <c r="J221" s="1"/>
      <c r="K221" s="1"/>
    </row>
    <row r="222" spans="1:11" x14ac:dyDescent="0.45">
      <c r="A222" s="2">
        <f t="shared" si="17"/>
        <v>220</v>
      </c>
      <c r="B222" s="2">
        <f t="shared" si="16"/>
        <v>66.666666666667112</v>
      </c>
      <c r="C222" s="2">
        <v>80</v>
      </c>
      <c r="D222" s="2">
        <v>0</v>
      </c>
      <c r="E222" s="7">
        <f t="shared" si="18"/>
        <v>0.2137090003474782</v>
      </c>
      <c r="F222" s="7">
        <f t="shared" si="20"/>
        <v>-6.258303829866918E-4</v>
      </c>
      <c r="G222" s="2">
        <f t="shared" si="19"/>
        <v>0.14060285766672678</v>
      </c>
      <c r="H222" s="2">
        <f>(SystemConstants!$B$6*F222)+(0.5*SystemConstants!$B$7*SystemConstants!$B$5*Data!E222^2)+(0.5*SystemConstants!$B$7*SystemConstants!$B$2*SystemConstants!$B$3*Data!E222^2)</f>
        <v>26.121894732312526</v>
      </c>
      <c r="I222" s="1"/>
      <c r="J222" s="1"/>
      <c r="K222" s="1"/>
    </row>
    <row r="223" spans="1:11" x14ac:dyDescent="0.45">
      <c r="A223" s="2">
        <f t="shared" si="17"/>
        <v>221</v>
      </c>
      <c r="B223" s="2">
        <f t="shared" si="16"/>
        <v>66.333333333333783</v>
      </c>
      <c r="C223" s="2">
        <v>80</v>
      </c>
      <c r="D223" s="2">
        <v>0</v>
      </c>
      <c r="E223" s="7">
        <f t="shared" si="18"/>
        <v>0.21307930908177752</v>
      </c>
      <c r="F223" s="7">
        <f t="shared" si="20"/>
        <v>-6.2969126570067147E-4</v>
      </c>
      <c r="G223" s="2">
        <f t="shared" si="19"/>
        <v>0.14118027980635994</v>
      </c>
      <c r="H223" s="2">
        <f>(SystemConstants!$B$6*F223)+(0.5*SystemConstants!$B$7*SystemConstants!$B$5*Data!E223^2)+(0.5*SystemConstants!$B$7*SystemConstants!$B$2*SystemConstants!$B$3*Data!E223^2)</f>
        <v>25.96817821143085</v>
      </c>
      <c r="I223" s="1"/>
      <c r="J223" s="1"/>
      <c r="K223" s="1"/>
    </row>
    <row r="224" spans="1:11" x14ac:dyDescent="0.45">
      <c r="A224" s="2">
        <f t="shared" si="17"/>
        <v>222</v>
      </c>
      <c r="B224" s="2">
        <f t="shared" si="16"/>
        <v>66.000000000000455</v>
      </c>
      <c r="C224" s="2">
        <v>80</v>
      </c>
      <c r="D224" s="2">
        <v>0</v>
      </c>
      <c r="E224" s="7">
        <f t="shared" si="18"/>
        <v>0.21244573662688992</v>
      </c>
      <c r="F224" s="7">
        <f t="shared" si="20"/>
        <v>-6.3357245488759872E-4</v>
      </c>
      <c r="G224" s="2">
        <f t="shared" si="19"/>
        <v>0.14175954129082802</v>
      </c>
      <c r="H224" s="2">
        <f>(SystemConstants!$B$6*F224)+(0.5*SystemConstants!$B$7*SystemConstants!$B$5*Data!E224^2)+(0.5*SystemConstants!$B$7*SystemConstants!$B$2*SystemConstants!$B$3*Data!E224^2)</f>
        <v>25.813972024118485</v>
      </c>
      <c r="I224" s="1"/>
      <c r="J224" s="1"/>
      <c r="K224" s="1"/>
    </row>
    <row r="225" spans="1:11" x14ac:dyDescent="0.45">
      <c r="A225" s="2">
        <f t="shared" si="17"/>
        <v>223</v>
      </c>
      <c r="B225" s="2">
        <f t="shared" si="16"/>
        <v>65.666666666667126</v>
      </c>
      <c r="C225" s="2">
        <v>80</v>
      </c>
      <c r="D225" s="2">
        <v>0</v>
      </c>
      <c r="E225" s="7">
        <f t="shared" si="18"/>
        <v>0.21180826270411046</v>
      </c>
      <c r="F225" s="7">
        <f t="shared" si="20"/>
        <v>-6.3747392277946346E-4</v>
      </c>
      <c r="G225" s="2">
        <f t="shared" si="19"/>
        <v>0.14234062887965995</v>
      </c>
      <c r="H225" s="2">
        <f>(SystemConstants!$B$6*F225)+(0.5*SystemConstants!$B$7*SystemConstants!$B$5*Data!E225^2)+(0.5*SystemConstants!$B$7*SystemConstants!$B$2*SystemConstants!$B$3*Data!E225^2)</f>
        <v>25.659279695819528</v>
      </c>
      <c r="I225" s="1"/>
      <c r="J225" s="1"/>
      <c r="K225" s="1"/>
    </row>
    <row r="226" spans="1:11" x14ac:dyDescent="0.45">
      <c r="A226" s="2">
        <f t="shared" si="17"/>
        <v>224</v>
      </c>
      <c r="B226" s="2">
        <f t="shared" si="16"/>
        <v>65.333333333333798</v>
      </c>
      <c r="C226" s="2">
        <v>80</v>
      </c>
      <c r="D226" s="2">
        <v>0</v>
      </c>
      <c r="E226" s="7">
        <f t="shared" si="18"/>
        <v>0.21116686706626808</v>
      </c>
      <c r="F226" s="7">
        <f t="shared" si="20"/>
        <v>-6.4139563784237907E-4</v>
      </c>
      <c r="G226" s="2">
        <f t="shared" si="19"/>
        <v>0.14292352888829021</v>
      </c>
      <c r="H226" s="2">
        <f>(SystemConstants!$B$6*F226)+(0.5*SystemConstants!$B$7*SystemConstants!$B$5*Data!E226^2)+(0.5*SystemConstants!$B$7*SystemConstants!$B$2*SystemConstants!$B$3*Data!E226^2)</f>
        <v>25.504104870806469</v>
      </c>
      <c r="I226" s="1"/>
      <c r="J226" s="1"/>
      <c r="K226" s="1"/>
    </row>
    <row r="227" spans="1:11" x14ac:dyDescent="0.45">
      <c r="A227" s="2">
        <f t="shared" si="17"/>
        <v>225</v>
      </c>
      <c r="B227" s="2">
        <f t="shared" si="16"/>
        <v>65.000000000000469</v>
      </c>
      <c r="C227" s="2">
        <v>80</v>
      </c>
      <c r="D227" s="2">
        <v>0</v>
      </c>
      <c r="E227" s="7">
        <f t="shared" si="18"/>
        <v>0.21052152950147729</v>
      </c>
      <c r="F227" s="7">
        <f t="shared" si="20"/>
        <v>-6.4533756479079329E-4</v>
      </c>
      <c r="G227" s="2">
        <f t="shared" si="19"/>
        <v>0.14350822717339012</v>
      </c>
      <c r="H227" s="2">
        <f>(SystemConstants!$B$6*F227)+(0.5*SystemConstants!$B$7*SystemConstants!$B$5*Data!E227^2)+(0.5*SystemConstants!$B$7*SystemConstants!$B$2*SystemConstants!$B$3*Data!E227^2)</f>
        <v>25.348451313874648</v>
      </c>
      <c r="I227" s="1"/>
      <c r="J227" s="1"/>
      <c r="K227" s="1"/>
    </row>
    <row r="228" spans="1:11" x14ac:dyDescent="0.45">
      <c r="A228" s="2">
        <f t="shared" si="17"/>
        <v>226</v>
      </c>
      <c r="B228" s="2">
        <f t="shared" si="16"/>
        <v>64.66666666666714</v>
      </c>
      <c r="C228" s="2">
        <v>80</v>
      </c>
      <c r="D228" s="2">
        <v>0</v>
      </c>
      <c r="E228" s="7">
        <f t="shared" si="18"/>
        <v>0.20987222983693243</v>
      </c>
      <c r="F228" s="7">
        <f t="shared" si="20"/>
        <v>-6.4929966454485566E-4</v>
      </c>
      <c r="G228" s="2">
        <f t="shared" si="19"/>
        <v>0.14409470912880931</v>
      </c>
      <c r="H228" s="2">
        <f>(SystemConstants!$B$6*F228)+(0.5*SystemConstants!$B$7*SystemConstants!$B$5*Data!E228^2)+(0.5*SystemConstants!$B$7*SystemConstants!$B$2*SystemConstants!$B$3*Data!E228^2)</f>
        <v>25.192322912032854</v>
      </c>
      <c r="I228" s="1"/>
      <c r="J228" s="1"/>
      <c r="K228" s="1"/>
    </row>
    <row r="229" spans="1:11" x14ac:dyDescent="0.45">
      <c r="A229" s="2">
        <f t="shared" si="17"/>
        <v>227</v>
      </c>
      <c r="B229" s="2">
        <f t="shared" si="16"/>
        <v>64.333333333333812</v>
      </c>
      <c r="C229" s="2">
        <v>80</v>
      </c>
      <c r="D229" s="2">
        <v>0</v>
      </c>
      <c r="E229" s="7">
        <f t="shared" si="18"/>
        <v>0.20921894794278728</v>
      </c>
      <c r="F229" s="7">
        <f t="shared" si="20"/>
        <v>-6.5328189414515236E-4</v>
      </c>
      <c r="G229" s="2">
        <f t="shared" si="19"/>
        <v>0.14468295969160624</v>
      </c>
      <c r="H229" s="2">
        <f>(SystemConstants!$B$6*F229)+(0.5*SystemConstants!$B$7*SystemConstants!$B$5*Data!E229^2)+(0.5*SystemConstants!$B$7*SystemConstants!$B$2*SystemConstants!$B$3*Data!E229^2)</f>
        <v>25.035723676199627</v>
      </c>
      <c r="I229" s="1"/>
      <c r="J229" s="1"/>
      <c r="K229" s="1"/>
    </row>
    <row r="230" spans="1:11" x14ac:dyDescent="0.45">
      <c r="A230" s="2">
        <f t="shared" si="17"/>
        <v>228</v>
      </c>
      <c r="B230" s="2">
        <f t="shared" si="16"/>
        <v>64.000000000000483</v>
      </c>
      <c r="C230" s="2">
        <v>80</v>
      </c>
      <c r="D230" s="2">
        <v>0</v>
      </c>
      <c r="E230" s="7">
        <f t="shared" si="18"/>
        <v>0.20856166373621932</v>
      </c>
      <c r="F230" s="7">
        <f t="shared" si="20"/>
        <v>-6.5728420656796516E-4</v>
      </c>
      <c r="G230" s="2">
        <f t="shared" si="19"/>
        <v>0.14527296332307923</v>
      </c>
      <c r="H230" s="2">
        <f>(SystemConstants!$B$6*F230)+(0.5*SystemConstants!$B$7*SystemConstants!$B$5*Data!E230^2)+(0.5*SystemConstants!$B$7*SystemConstants!$B$2*SystemConstants!$B$3*Data!E230^2)</f>
        <v>24.878657742928254</v>
      </c>
      <c r="I230" s="1"/>
      <c r="J230" s="1"/>
      <c r="K230" s="1"/>
    </row>
    <row r="231" spans="1:11" x14ac:dyDescent="0.45">
      <c r="A231" s="2">
        <f t="shared" si="17"/>
        <v>229</v>
      </c>
      <c r="B231" s="2">
        <f t="shared" si="16"/>
        <v>63.666666666667147</v>
      </c>
      <c r="C231" s="2">
        <v>80</v>
      </c>
      <c r="D231" s="2">
        <v>0</v>
      </c>
      <c r="E231" s="7">
        <f t="shared" si="18"/>
        <v>0.20790035718539457</v>
      </c>
      <c r="F231" s="7">
        <f t="shared" si="20"/>
        <v>-6.6130655082474732E-4</v>
      </c>
      <c r="G231" s="2">
        <f t="shared" si="19"/>
        <v>0.14586470400020443</v>
      </c>
      <c r="H231" s="2">
        <f>(SystemConstants!$B$6*F231)+(0.5*SystemConstants!$B$7*SystemConstants!$B$5*Data!E231^2)+(0.5*SystemConstants!$B$7*SystemConstants!$B$2*SystemConstants!$B$3*Data!E231^2)</f>
        <v>24.721129376091024</v>
      </c>
      <c r="I231" s="1"/>
      <c r="J231" s="1"/>
      <c r="K231" s="1"/>
    </row>
    <row r="232" spans="1:11" x14ac:dyDescent="0.45">
      <c r="A232" s="2">
        <f t="shared" si="17"/>
        <v>230</v>
      </c>
      <c r="B232" s="2">
        <f t="shared" si="16"/>
        <v>63.333333333333812</v>
      </c>
      <c r="C232" s="2">
        <v>80</v>
      </c>
      <c r="D232" s="2">
        <v>0</v>
      </c>
      <c r="E232" s="7">
        <f t="shared" si="18"/>
        <v>0.20723500831373087</v>
      </c>
      <c r="F232" s="7">
        <f t="shared" si="20"/>
        <v>-6.6534887166369572E-4</v>
      </c>
      <c r="G232" s="2">
        <f t="shared" si="19"/>
        <v>0.14645816522979574</v>
      </c>
      <c r="H232" s="2">
        <f>(SystemConstants!$B$6*F232)+(0.5*SystemConstants!$B$7*SystemConstants!$B$5*Data!E232^2)+(0.5*SystemConstants!$B$7*SystemConstants!$B$2*SystemConstants!$B$3*Data!E232^2)</f>
        <v>24.563142968617942</v>
      </c>
      <c r="I232" s="1"/>
      <c r="J232" s="1"/>
      <c r="K232" s="1"/>
    </row>
    <row r="233" spans="1:11" x14ac:dyDescent="0.45">
      <c r="A233" s="2">
        <f t="shared" si="17"/>
        <v>231</v>
      </c>
      <c r="B233" s="2">
        <f t="shared" si="16"/>
        <v>63.000000000000476</v>
      </c>
      <c r="C233" s="2">
        <v>80</v>
      </c>
      <c r="D233" s="2">
        <v>0</v>
      </c>
      <c r="E233" s="7">
        <f t="shared" si="18"/>
        <v>0.20656559720397638</v>
      </c>
      <c r="F233" s="7">
        <f t="shared" si="20"/>
        <v>-6.6941110975449192E-4</v>
      </c>
      <c r="G233" s="2">
        <f t="shared" si="19"/>
        <v>0.14705333001033802</v>
      </c>
      <c r="H233" s="2">
        <f>(SystemConstants!$B$6*F233)+(0.5*SystemConstants!$B$7*SystemConstants!$B$5*Data!E233^2)+(0.5*SystemConstants!$B$7*SystemConstants!$B$2*SystemConstants!$B$3*Data!E233^2)</f>
        <v>24.404703044172717</v>
      </c>
      <c r="I233" s="1"/>
      <c r="J233" s="1"/>
      <c r="K233" s="1"/>
    </row>
    <row r="234" spans="1:11" x14ac:dyDescent="0.45">
      <c r="A234" s="2">
        <f t="shared" si="17"/>
        <v>232</v>
      </c>
      <c r="B234" s="2">
        <f t="shared" si="16"/>
        <v>62.66666666666714</v>
      </c>
      <c r="C234" s="2">
        <v>80</v>
      </c>
      <c r="D234" s="2">
        <v>0</v>
      </c>
      <c r="E234" s="7">
        <f t="shared" si="18"/>
        <v>0.20589210400260072</v>
      </c>
      <c r="F234" s="7">
        <f t="shared" si="20"/>
        <v>-6.7349320137566338E-4</v>
      </c>
      <c r="G234" s="2">
        <f t="shared" si="19"/>
        <v>0.14765018086146461</v>
      </c>
      <c r="H234" s="2">
        <f>(SystemConstants!$B$6*F234)+(0.5*SystemConstants!$B$7*SystemConstants!$B$5*Data!E234^2)+(0.5*SystemConstants!$B$7*SystemConstants!$B$2*SystemConstants!$B$3*Data!E234^2)</f>
        <v>24.245814258884806</v>
      </c>
      <c r="I234" s="1"/>
      <c r="J234" s="1"/>
      <c r="K234" s="1"/>
    </row>
    <row r="235" spans="1:11" x14ac:dyDescent="0.45">
      <c r="A235" s="2">
        <f t="shared" si="17"/>
        <v>233</v>
      </c>
      <c r="B235" s="2">
        <f t="shared" si="16"/>
        <v>62.333333333333805</v>
      </c>
      <c r="C235" s="2">
        <v>80</v>
      </c>
      <c r="D235" s="2">
        <v>0</v>
      </c>
      <c r="E235" s="7">
        <f t="shared" si="18"/>
        <v>0.20521450892415771</v>
      </c>
      <c r="F235" s="7">
        <f t="shared" si="20"/>
        <v>-6.7759507844300515E-4</v>
      </c>
      <c r="G235" s="2">
        <f t="shared" si="19"/>
        <v>0.14824869977899688</v>
      </c>
      <c r="H235" s="2">
        <f>(SystemConstants!$B$6*F235)+(0.5*SystemConstants!$B$7*SystemConstants!$B$5*Data!E235^2)+(0.5*SystemConstants!$B$7*SystemConstants!$B$2*SystemConstants!$B$3*Data!E235^2)</f>
        <v>24.086481403054396</v>
      </c>
      <c r="I235" s="1"/>
      <c r="J235" s="1"/>
      <c r="K235" s="1"/>
    </row>
    <row r="236" spans="1:11" x14ac:dyDescent="0.45">
      <c r="A236" s="2">
        <f t="shared" si="17"/>
        <v>234</v>
      </c>
      <c r="B236" s="2">
        <f t="shared" si="16"/>
        <v>62.000000000000469</v>
      </c>
      <c r="C236" s="2">
        <v>80</v>
      </c>
      <c r="D236" s="2">
        <v>0</v>
      </c>
      <c r="E236" s="7">
        <f t="shared" si="18"/>
        <v>0.20453279225576182</v>
      </c>
      <c r="F236" s="7">
        <f t="shared" si="20"/>
        <v>-6.8171666839589307E-4</v>
      </c>
      <c r="G236" s="2">
        <f t="shared" si="19"/>
        <v>0.14884886825728455</v>
      </c>
      <c r="H236" s="2">
        <f>(SystemConstants!$B$6*F236)+(0.5*SystemConstants!$B$7*SystemConstants!$B$5*Data!E236^2)+(0.5*SystemConstants!$B$7*SystemConstants!$B$2*SystemConstants!$B$3*Data!E236^2)</f>
        <v>23.926709402863722</v>
      </c>
      <c r="I236" s="1"/>
      <c r="J236" s="1"/>
      <c r="K236" s="1"/>
    </row>
    <row r="237" spans="1:11" x14ac:dyDescent="0.45">
      <c r="A237" s="2">
        <f t="shared" si="17"/>
        <v>235</v>
      </c>
      <c r="B237" s="2">
        <f t="shared" si="16"/>
        <v>61.666666666667133</v>
      </c>
      <c r="C237" s="2">
        <v>80</v>
      </c>
      <c r="D237" s="2">
        <v>0</v>
      </c>
      <c r="E237" s="7">
        <f t="shared" si="18"/>
        <v>0.20384693436156454</v>
      </c>
      <c r="F237" s="7">
        <f t="shared" si="20"/>
        <v>-6.8585789419728371E-4</v>
      </c>
      <c r="G237" s="2">
        <f t="shared" si="19"/>
        <v>0.14945066728668657</v>
      </c>
      <c r="H237" s="2">
        <f>(SystemConstants!$B$6*F237)+(0.5*SystemConstants!$B$7*SystemConstants!$B$5*Data!E237^2)+(0.5*SystemConstants!$B$7*SystemConstants!$B$2*SystemConstants!$B$3*Data!E237^2)</f>
        <v>23.766503322066875</v>
      </c>
      <c r="I237" s="1"/>
      <c r="J237" s="1"/>
      <c r="K237" s="1"/>
    </row>
    <row r="238" spans="1:11" x14ac:dyDescent="0.45">
      <c r="A238" s="2">
        <f t="shared" si="17"/>
        <v>236</v>
      </c>
      <c r="B238" s="2">
        <f t="shared" si="16"/>
        <v>61.333333333333798</v>
      </c>
      <c r="C238" s="2">
        <v>80</v>
      </c>
      <c r="D238" s="2">
        <v>0</v>
      </c>
      <c r="E238" s="7">
        <f t="shared" si="18"/>
        <v>0.20315691568747241</v>
      </c>
      <c r="F238" s="7">
        <f t="shared" si="20"/>
        <v>-6.9001867409212991E-4</v>
      </c>
      <c r="G238" s="2">
        <f t="shared" si="19"/>
        <v>0.15005407730980688</v>
      </c>
      <c r="H238" s="2">
        <f>(SystemConstants!$B$6*F238)+(0.5*SystemConstants!$B$7*SystemConstants!$B$5*Data!E238^2)+(0.5*SystemConstants!$B$7*SystemConstants!$B$2*SystemConstants!$B$3*Data!E238^2)</f>
        <v>23.605868363714155</v>
      </c>
      <c r="I238" s="1"/>
      <c r="J238" s="1"/>
      <c r="K238" s="1"/>
    </row>
    <row r="239" spans="1:11" x14ac:dyDescent="0.45">
      <c r="A239" s="2">
        <f t="shared" si="17"/>
        <v>237</v>
      </c>
      <c r="B239" s="2">
        <f t="shared" si="16"/>
        <v>61.000000000000462</v>
      </c>
      <c r="C239" s="2">
        <v>80</v>
      </c>
      <c r="D239" s="2">
        <v>0</v>
      </c>
      <c r="E239" s="7">
        <f t="shared" si="18"/>
        <v>0.20246271676577976</v>
      </c>
      <c r="F239" s="7">
        <f t="shared" si="20"/>
        <v>-6.9419892169264585E-4</v>
      </c>
      <c r="G239" s="2">
        <f t="shared" si="19"/>
        <v>0.1506590782539613</v>
      </c>
      <c r="H239" s="2">
        <f>(SystemConstants!$B$6*F239)+(0.5*SystemConstants!$B$7*SystemConstants!$B$5*Data!E239^2)+(0.5*SystemConstants!$B$7*SystemConstants!$B$2*SystemConstants!$B$3*Data!E239^2)</f>
        <v>23.444809871832668</v>
      </c>
      <c r="I239" s="1"/>
      <c r="J239" s="1"/>
      <c r="K239" s="1"/>
    </row>
    <row r="240" spans="1:11" x14ac:dyDescent="0.45">
      <c r="A240" s="2">
        <f t="shared" si="17"/>
        <v>238</v>
      </c>
      <c r="B240" s="2">
        <f t="shared" si="16"/>
        <v>60.666666666667126</v>
      </c>
      <c r="C240" s="2">
        <v>80</v>
      </c>
      <c r="D240" s="2">
        <v>0</v>
      </c>
      <c r="E240" s="7">
        <f t="shared" si="18"/>
        <v>0.20176431821997198</v>
      </c>
      <c r="F240" s="7">
        <f t="shared" si="20"/>
        <v>-6.9839854580777683E-4</v>
      </c>
      <c r="G240" s="2">
        <f t="shared" si="19"/>
        <v>0.15126564951703053</v>
      </c>
      <c r="H240" s="2">
        <f>(SystemConstants!$B$6*F240)+(0.5*SystemConstants!$B$7*SystemConstants!$B$5*Data!E240^2)+(0.5*SystemConstants!$B$7*SystemConstants!$B$2*SystemConstants!$B$3*Data!E240^2)</f>
        <v>23.283333333122965</v>
      </c>
      <c r="I240" s="1"/>
      <c r="J240" s="1"/>
      <c r="K240" s="1"/>
    </row>
    <row r="241" spans="1:11" x14ac:dyDescent="0.45">
      <c r="A241" s="2">
        <f t="shared" si="17"/>
        <v>239</v>
      </c>
      <c r="B241" s="2">
        <f t="shared" si="16"/>
        <v>60.33333333333379</v>
      </c>
      <c r="C241" s="2">
        <v>80</v>
      </c>
      <c r="D241" s="2">
        <v>0</v>
      </c>
      <c r="E241" s="7">
        <f t="shared" si="18"/>
        <v>0.2010617007696851</v>
      </c>
      <c r="F241" s="7">
        <f t="shared" si="20"/>
        <v>-7.0261745028687983E-4</v>
      </c>
      <c r="G241" s="2">
        <f t="shared" si="19"/>
        <v>0.15187376993456053</v>
      </c>
      <c r="H241" s="2">
        <f>(SystemConstants!$B$6*F241)+(0.5*SystemConstants!$B$7*SystemConstants!$B$5*Data!E241^2)+(0.5*SystemConstants!$B$7*SystemConstants!$B$2*SystemConstants!$B$3*Data!E241^2)</f>
        <v>23.121444378666521</v>
      </c>
      <c r="I241" s="1"/>
      <c r="J241" s="1"/>
      <c r="K241" s="1"/>
    </row>
    <row r="242" spans="1:11" x14ac:dyDescent="0.45">
      <c r="A242" s="2">
        <f t="shared" si="17"/>
        <v>240</v>
      </c>
      <c r="B242" s="2">
        <f t="shared" si="16"/>
        <v>60.000000000000455</v>
      </c>
      <c r="C242" s="2">
        <v>80</v>
      </c>
      <c r="D242" s="2">
        <v>0</v>
      </c>
      <c r="E242" s="7">
        <f t="shared" si="18"/>
        <v>0.20035484523550906</v>
      </c>
      <c r="F242" s="7">
        <f t="shared" si="20"/>
        <v>-7.0685553417604297E-4</v>
      </c>
      <c r="G242" s="2">
        <f t="shared" si="19"/>
        <v>0.15248341781222952</v>
      </c>
      <c r="H242" s="2">
        <f>(SystemConstants!$B$6*F242)+(0.5*SystemConstants!$B$7*SystemConstants!$B$5*Data!E242^2)+(0.5*SystemConstants!$B$7*SystemConstants!$B$2*SystemConstants!$B$3*Data!E242^2)</f>
        <v>22.959148785570715</v>
      </c>
      <c r="I242" s="1"/>
      <c r="J242" s="1"/>
      <c r="K242" s="1"/>
    </row>
    <row r="243" spans="1:11" x14ac:dyDescent="0.45">
      <c r="A243" s="2">
        <f t="shared" si="17"/>
        <v>241</v>
      </c>
      <c r="B243" s="2">
        <f t="shared" si="16"/>
        <v>59.666666666667119</v>
      </c>
      <c r="C243" s="2">
        <v>80</v>
      </c>
      <c r="D243" s="2">
        <v>0</v>
      </c>
      <c r="E243" s="7">
        <f t="shared" si="18"/>
        <v>0.19964373254417467</v>
      </c>
      <c r="F243" s="7">
        <f t="shared" si="20"/>
        <v>-7.1111269133439237E-4</v>
      </c>
      <c r="G243" s="2">
        <f t="shared" si="19"/>
        <v>0.15309457089095102</v>
      </c>
      <c r="H243" s="2">
        <f>(SystemConstants!$B$6*F243)+(0.5*SystemConstants!$B$7*SystemConstants!$B$5*Data!E243^2)+(0.5*SystemConstants!$B$7*SystemConstants!$B$2*SystemConstants!$B$3*Data!E243^2)</f>
        <v>22.796452478675832</v>
      </c>
      <c r="I243" s="1"/>
      <c r="J243" s="1"/>
      <c r="K243" s="1"/>
    </row>
    <row r="244" spans="1:11" x14ac:dyDescent="0.45">
      <c r="A244" s="2">
        <f t="shared" si="17"/>
        <v>242</v>
      </c>
      <c r="B244" s="2">
        <f t="shared" si="16"/>
        <v>59.333333333333783</v>
      </c>
      <c r="C244" s="2">
        <v>80</v>
      </c>
      <c r="D244" s="2">
        <v>0</v>
      </c>
      <c r="E244" s="7">
        <f t="shared" si="18"/>
        <v>0.19892834373354162</v>
      </c>
      <c r="F244" s="7">
        <f t="shared" si="20"/>
        <v>-7.1538881063304416E-4</v>
      </c>
      <c r="G244" s="2">
        <f t="shared" si="19"/>
        <v>0.15370720636028301</v>
      </c>
      <c r="H244" s="2">
        <f>(SystemConstants!$B$6*F244)+(0.5*SystemConstants!$B$7*SystemConstants!$B$5*Data!E244^2)+(0.5*SystemConstants!$B$7*SystemConstants!$B$2*SystemConstants!$B$3*Data!E244^2)</f>
        <v>22.633361532187539</v>
      </c>
      <c r="I244" s="1"/>
      <c r="J244" s="1"/>
      <c r="K244" s="1"/>
    </row>
    <row r="245" spans="1:11" x14ac:dyDescent="0.45">
      <c r="A245" s="2">
        <f t="shared" si="17"/>
        <v>243</v>
      </c>
      <c r="B245" s="2">
        <f t="shared" si="16"/>
        <v>59.000000000000448</v>
      </c>
      <c r="C245" s="2">
        <v>80</v>
      </c>
      <c r="D245" s="2">
        <v>0</v>
      </c>
      <c r="E245" s="7">
        <f t="shared" si="18"/>
        <v>0.19820865995799863</v>
      </c>
      <c r="F245" s="7">
        <f t="shared" si="20"/>
        <v>-7.1968377554298968E-4</v>
      </c>
      <c r="G245" s="2">
        <f t="shared" si="19"/>
        <v>0.15432130082190249</v>
      </c>
      <c r="H245" s="2">
        <f>(SystemConstants!$B$6*F245)+(0.5*SystemConstants!$B$7*SystemConstants!$B$5*Data!E245^2)+(0.5*SystemConstants!$B$7*SystemConstants!$B$2*SystemConstants!$B$3*Data!E245^2)</f>
        <v>22.469882171375218</v>
      </c>
      <c r="I245" s="1"/>
      <c r="J245" s="1"/>
      <c r="K245" s="1"/>
    </row>
    <row r="246" spans="1:11" x14ac:dyDescent="0.45">
      <c r="A246" s="2">
        <f t="shared" si="17"/>
        <v>244</v>
      </c>
      <c r="B246" s="2">
        <f t="shared" si="16"/>
        <v>58.666666666667112</v>
      </c>
      <c r="C246" s="2">
        <v>80</v>
      </c>
      <c r="D246" s="2">
        <v>0</v>
      </c>
      <c r="E246" s="7">
        <f t="shared" si="18"/>
        <v>0.19748466249349406</v>
      </c>
      <c r="F246" s="7">
        <f t="shared" si="20"/>
        <v>-7.2399746450457769E-4</v>
      </c>
      <c r="G246" s="2">
        <f t="shared" si="19"/>
        <v>0.15493683032468056</v>
      </c>
      <c r="H246" s="2">
        <f>(SystemConstants!$B$6*F246)+(0.5*SystemConstants!$B$7*SystemConstants!$B$5*Data!E246^2)+(0.5*SystemConstants!$B$7*SystemConstants!$B$2*SystemConstants!$B$3*Data!E246^2)</f>
        <v>22.306020774155105</v>
      </c>
      <c r="I246" s="1"/>
      <c r="J246" s="1"/>
      <c r="K246" s="1"/>
    </row>
    <row r="247" spans="1:11" x14ac:dyDescent="0.45">
      <c r="A247" s="2">
        <f t="shared" si="17"/>
        <v>245</v>
      </c>
      <c r="B247" s="2">
        <f t="shared" si="16"/>
        <v>58.333333333333776</v>
      </c>
      <c r="C247" s="2">
        <v>80</v>
      </c>
      <c r="D247" s="2">
        <v>0</v>
      </c>
      <c r="E247" s="7">
        <f t="shared" si="18"/>
        <v>0.1967563327431634</v>
      </c>
      <c r="F247" s="7">
        <f t="shared" si="20"/>
        <v>-7.283297503306585E-4</v>
      </c>
      <c r="G247" s="2">
        <f t="shared" si="19"/>
        <v>0.15555377034028134</v>
      </c>
      <c r="H247" s="2">
        <f>(SystemConstants!$B$6*F247)+(0.5*SystemConstants!$B$7*SystemConstants!$B$5*Data!E247^2)+(0.5*SystemConstants!$B$7*SystemConstants!$B$2*SystemConstants!$B$3*Data!E247^2)</f>
        <v>22.141783872779044</v>
      </c>
      <c r="I247" s="1"/>
      <c r="J247" s="1"/>
      <c r="K247" s="1"/>
    </row>
    <row r="248" spans="1:11" x14ac:dyDescent="0.45">
      <c r="A248" s="2">
        <f t="shared" si="17"/>
        <v>246</v>
      </c>
      <c r="B248" s="2">
        <f t="shared" ref="B248:B311" si="21">(B247-(60/180))</f>
        <v>58.000000000000441</v>
      </c>
      <c r="C248" s="2">
        <v>80</v>
      </c>
      <c r="D248" s="2">
        <v>0</v>
      </c>
      <c r="E248" s="7">
        <f t="shared" si="18"/>
        <v>0.19602365224262996</v>
      </c>
      <c r="F248" s="7">
        <f t="shared" si="20"/>
        <v>-7.3268050053343359E-4</v>
      </c>
      <c r="G248" s="2">
        <f t="shared" si="19"/>
        <v>0.15617209572550403</v>
      </c>
      <c r="H248" s="2">
        <f>(SystemConstants!$B$6*F248)+(0.5*SystemConstants!$B$7*SystemConstants!$B$5*Data!E248^2)+(0.5*SystemConstants!$B$7*SystemConstants!$B$2*SystemConstants!$B$3*Data!E248^2)</f>
        <v>21.977178155415725</v>
      </c>
      <c r="I248" s="1"/>
      <c r="J248" s="1"/>
      <c r="K248" s="1"/>
    </row>
    <row r="249" spans="1:11" x14ac:dyDescent="0.45">
      <c r="A249" s="2">
        <f t="shared" si="17"/>
        <v>247</v>
      </c>
      <c r="B249" s="2">
        <f t="shared" si="21"/>
        <v>57.666666666667105</v>
      </c>
      <c r="C249" s="2">
        <v>80</v>
      </c>
      <c r="D249" s="2">
        <v>0</v>
      </c>
      <c r="E249" s="7">
        <f t="shared" si="18"/>
        <v>0.19528660266564657</v>
      </c>
      <c r="F249" s="7">
        <f t="shared" si="20"/>
        <v>-7.3704957698339513E-4</v>
      </c>
      <c r="G249" s="2">
        <f t="shared" si="19"/>
        <v>0.1567917807783499</v>
      </c>
      <c r="H249" s="2">
        <f>(SystemConstants!$B$6*F249)+(0.5*SystemConstants!$B$7*SystemConstants!$B$5*Data!E249^2)+(0.5*SystemConstants!$B$7*SystemConstants!$B$2*SystemConstants!$B$3*Data!E249^2)</f>
        <v>21.812210467776438</v>
      </c>
      <c r="I249" s="1"/>
      <c r="J249" s="1"/>
      <c r="K249" s="1"/>
    </row>
    <row r="250" spans="1:11" x14ac:dyDescent="0.45">
      <c r="A250" s="2">
        <f t="shared" si="17"/>
        <v>248</v>
      </c>
      <c r="B250" s="2">
        <f t="shared" si="21"/>
        <v>57.333333333333769</v>
      </c>
      <c r="C250" s="2">
        <v>80</v>
      </c>
      <c r="D250" s="2">
        <v>0</v>
      </c>
      <c r="E250" s="7">
        <f t="shared" si="18"/>
        <v>0.19454516582962356</v>
      </c>
      <c r="F250" s="7">
        <f t="shared" si="20"/>
        <v>-7.414368360230128E-4</v>
      </c>
      <c r="G250" s="2">
        <f t="shared" si="19"/>
        <v>0.15741279917957629</v>
      </c>
      <c r="H250" s="2">
        <f>(SystemConstants!$B$6*F250)+(0.5*SystemConstants!$B$7*SystemConstants!$B$5*Data!E250^2)+(0.5*SystemConstants!$B$7*SystemConstants!$B$2*SystemConstants!$B$3*Data!E250^2)</f>
        <v>21.646887814680323</v>
      </c>
      <c r="I250" s="1"/>
      <c r="J250" s="1"/>
      <c r="K250" s="1"/>
    </row>
    <row r="251" spans="1:11" x14ac:dyDescent="0.45">
      <c r="A251" s="2">
        <f t="shared" si="17"/>
        <v>249</v>
      </c>
      <c r="B251" s="2">
        <f t="shared" si="21"/>
        <v>57.000000000000433</v>
      </c>
      <c r="C251" s="2">
        <v>80</v>
      </c>
      <c r="D251" s="2">
        <v>0</v>
      </c>
      <c r="E251" s="7">
        <f t="shared" si="18"/>
        <v>0.19379932370148367</v>
      </c>
      <c r="F251" s="7">
        <f t="shared" si="20"/>
        <v>-7.4584212813988415E-4</v>
      </c>
      <c r="G251" s="2">
        <f t="shared" si="19"/>
        <v>0.15803512402310274</v>
      </c>
      <c r="H251" s="2">
        <f>(SystemConstants!$B$6*F251)+(0.5*SystemConstants!$B$7*SystemConstants!$B$5*Data!E251^2)+(0.5*SystemConstants!$B$7*SystemConstants!$B$2*SystemConstants!$B$3*Data!E251^2)</f>
        <v>21.481217361657713</v>
      </c>
      <c r="I251" s="1"/>
      <c r="J251" s="1"/>
      <c r="K251" s="1"/>
    </row>
    <row r="252" spans="1:11" x14ac:dyDescent="0.45">
      <c r="A252" s="2">
        <f t="shared" si="17"/>
        <v>250</v>
      </c>
      <c r="B252" s="2">
        <f t="shared" si="21"/>
        <v>56.666666666667098</v>
      </c>
      <c r="C252" s="2">
        <v>80</v>
      </c>
      <c r="D252" s="2">
        <v>0</v>
      </c>
      <c r="E252" s="7">
        <f t="shared" si="18"/>
        <v>0.19304905840331799</v>
      </c>
      <c r="F252" s="7">
        <f t="shared" si="20"/>
        <v>-7.5026529816568654E-4</v>
      </c>
      <c r="G252" s="2">
        <f t="shared" si="19"/>
        <v>0.15865872776775566</v>
      </c>
      <c r="H252" s="2">
        <f>(SystemConstants!$B$6*F252)+(0.5*SystemConstants!$B$7*SystemConstants!$B$5*Data!E252^2)+(0.5*SystemConstants!$B$7*SystemConstants!$B$2*SystemConstants!$B$3*Data!E252^2)</f>
        <v>21.315206436471762</v>
      </c>
      <c r="I252" s="1"/>
      <c r="J252" s="1"/>
      <c r="K252" s="1"/>
    </row>
    <row r="253" spans="1:11" x14ac:dyDescent="0.45">
      <c r="A253" s="2">
        <f t="shared" si="17"/>
        <v>251</v>
      </c>
      <c r="B253" s="2">
        <f t="shared" si="21"/>
        <v>56.333333333333762</v>
      </c>
      <c r="C253" s="2">
        <v>80</v>
      </c>
      <c r="D253" s="2">
        <v>0</v>
      </c>
      <c r="E253" s="7">
        <f t="shared" si="18"/>
        <v>0.19229435221836866</v>
      </c>
      <c r="F253" s="7">
        <f t="shared" si="20"/>
        <v>-7.5470618494932751E-4</v>
      </c>
      <c r="G253" s="2">
        <f t="shared" si="19"/>
        <v>0.15928358228163067</v>
      </c>
      <c r="H253" s="2">
        <f>(SystemConstants!$B$6*F253)+(0.5*SystemConstants!$B$7*SystemConstants!$B$5*Data!E253^2)+(0.5*SystemConstants!$B$7*SystemConstants!$B$2*SystemConstants!$B$3*Data!E253^2)</f>
        <v>21.148862530675643</v>
      </c>
      <c r="I253" s="1"/>
      <c r="J253" s="1"/>
      <c r="K253" s="1"/>
    </row>
    <row r="254" spans="1:11" x14ac:dyDescent="0.45">
      <c r="A254" s="2">
        <f t="shared" si="17"/>
        <v>252</v>
      </c>
      <c r="B254" s="2">
        <f t="shared" si="21"/>
        <v>56.000000000000426</v>
      </c>
      <c r="C254" s="2">
        <v>80</v>
      </c>
      <c r="D254" s="2">
        <v>0</v>
      </c>
      <c r="E254" s="7">
        <f t="shared" si="18"/>
        <v>0.19153518759695487</v>
      </c>
      <c r="F254" s="7">
        <f t="shared" si="20"/>
        <v>-7.5916462141378815E-4</v>
      </c>
      <c r="G254" s="2">
        <f t="shared" si="19"/>
        <v>0.15990965879201796</v>
      </c>
      <c r="H254" s="2">
        <f>(SystemConstants!$B$6*F254)+(0.5*SystemConstants!$B$7*SystemConstants!$B$5*Data!E254^2)+(0.5*SystemConstants!$B$7*SystemConstants!$B$2*SystemConstants!$B$3*Data!E254^2)</f>
        <v>20.982193301117512</v>
      </c>
      <c r="I254" s="1"/>
      <c r="J254" s="1"/>
      <c r="K254" s="1"/>
    </row>
    <row r="255" spans="1:11" x14ac:dyDescent="0.45">
      <c r="A255" s="2">
        <f t="shared" si="17"/>
        <v>253</v>
      </c>
      <c r="B255" s="2">
        <f t="shared" si="21"/>
        <v>55.666666666667091</v>
      </c>
      <c r="C255" s="2">
        <v>80</v>
      </c>
      <c r="D255" s="2">
        <v>0</v>
      </c>
      <c r="E255" s="7">
        <f t="shared" si="18"/>
        <v>0.19077154716256928</v>
      </c>
      <c r="F255" s="7">
        <f t="shared" si="20"/>
        <v>-7.6364043438559293E-4</v>
      </c>
      <c r="G255" s="2">
        <f t="shared" si="19"/>
        <v>0.16053692792284377</v>
      </c>
      <c r="H255" s="2">
        <f>(SystemConstants!$B$6*F255)+(0.5*SystemConstants!$B$7*SystemConstants!$B$5*Data!E255^2)+(0.5*SystemConstants!$B$7*SystemConstants!$B$2*SystemConstants!$B$3*Data!E255^2)</f>
        <v>20.815206571443202</v>
      </c>
      <c r="I255" s="1"/>
      <c r="J255" s="1"/>
      <c r="K255" s="1"/>
    </row>
    <row r="256" spans="1:11" x14ac:dyDescent="0.45">
      <c r="A256" s="2">
        <f t="shared" si="17"/>
        <v>254</v>
      </c>
      <c r="B256" s="2">
        <f t="shared" si="21"/>
        <v>55.333333333333755</v>
      </c>
      <c r="C256" s="2">
        <v>80</v>
      </c>
      <c r="D256" s="2">
        <v>0</v>
      </c>
      <c r="E256" s="7">
        <f t="shared" si="18"/>
        <v>0.1900034137178892</v>
      </c>
      <c r="F256" s="7">
        <f t="shared" si="20"/>
        <v>-7.6813344468007472E-4</v>
      </c>
      <c r="G256" s="2">
        <f t="shared" si="19"/>
        <v>0.16116535964969733</v>
      </c>
      <c r="H256" s="2">
        <f>(SystemConstants!$B$6*F256)+(0.5*SystemConstants!$B$7*SystemConstants!$B$5*Data!E256^2)+(0.5*SystemConstants!$B$7*SystemConstants!$B$2*SystemConstants!$B$3*Data!E256^2)</f>
        <v>20.647910333538647</v>
      </c>
      <c r="I256" s="1"/>
      <c r="J256" s="1"/>
      <c r="K256" s="1"/>
    </row>
    <row r="257" spans="1:11" x14ac:dyDescent="0.45">
      <c r="A257" s="2">
        <f t="shared" si="17"/>
        <v>255</v>
      </c>
      <c r="B257" s="2">
        <f t="shared" si="21"/>
        <v>55.000000000000419</v>
      </c>
      <c r="C257" s="2">
        <v>80</v>
      </c>
      <c r="D257" s="2">
        <v>0</v>
      </c>
      <c r="E257" s="7">
        <f t="shared" si="18"/>
        <v>0.18923077025118573</v>
      </c>
      <c r="F257" s="7">
        <f t="shared" si="20"/>
        <v>-7.7264346670347095E-4</v>
      </c>
      <c r="G257" s="2">
        <f t="shared" si="19"/>
        <v>0.16179492331465234</v>
      </c>
      <c r="H257" s="2">
        <f>(SystemConstants!$B$6*F257)+(0.5*SystemConstants!$B$7*SystemConstants!$B$5*Data!E257^2)+(0.5*SystemConstants!$B$7*SystemConstants!$B$2*SystemConstants!$B$3*Data!E257^2)</f>
        <v>20.48031274901718</v>
      </c>
      <c r="I257" s="1"/>
      <c r="J257" s="1"/>
      <c r="K257" s="1"/>
    </row>
    <row r="258" spans="1:11" x14ac:dyDescent="0.45">
      <c r="A258" s="2">
        <f t="shared" si="17"/>
        <v>256</v>
      </c>
      <c r="B258" s="2">
        <f t="shared" si="21"/>
        <v>54.666666666667084</v>
      </c>
      <c r="C258" s="2">
        <v>80</v>
      </c>
      <c r="D258" s="2">
        <v>0</v>
      </c>
      <c r="E258" s="7">
        <f t="shared" si="18"/>
        <v>0.1884535999424628</v>
      </c>
      <c r="F258" s="7">
        <f t="shared" si="20"/>
        <v>-7.771703087229298E-4</v>
      </c>
      <c r="G258" s="2">
        <f t="shared" si="19"/>
        <v>0.1624255876070308</v>
      </c>
      <c r="H258" s="2">
        <f>(SystemConstants!$B$6*F258)+(0.5*SystemConstants!$B$7*SystemConstants!$B$5*Data!E258^2)+(0.5*SystemConstants!$B$7*SystemConstants!$B$2*SystemConstants!$B$3*Data!E258^2)</f>
        <v>20.312422150603304</v>
      </c>
      <c r="I258" s="1"/>
      <c r="J258" s="1"/>
      <c r="K258" s="1"/>
    </row>
    <row r="259" spans="1:11" x14ac:dyDescent="0.45">
      <c r="A259" s="2">
        <f t="shared" ref="A259:A322" si="22">A258+1</f>
        <v>257</v>
      </c>
      <c r="B259" s="2">
        <f t="shared" si="21"/>
        <v>54.333333333333748</v>
      </c>
      <c r="C259" s="2">
        <v>80</v>
      </c>
      <c r="D259" s="2">
        <v>0</v>
      </c>
      <c r="E259" s="7">
        <f t="shared" si="18"/>
        <v>0.18767188616990893</v>
      </c>
      <c r="F259" s="7">
        <f t="shared" si="20"/>
        <v>-7.8171377255387142E-4</v>
      </c>
      <c r="G259" s="2">
        <f t="shared" si="19"/>
        <v>0.16305732058258829</v>
      </c>
      <c r="H259" s="2">
        <f>(SystemConstants!$B$6*F259)+(0.5*SystemConstants!$B$7*SystemConstants!$B$5*Data!E259^2)+(0.5*SystemConstants!$B$7*SystemConstants!$B$2*SystemConstants!$B$3*Data!E259^2)</f>
        <v>20.144247043540158</v>
      </c>
      <c r="I259" s="1"/>
      <c r="J259" s="1"/>
      <c r="K259" s="1"/>
    </row>
    <row r="260" spans="1:11" x14ac:dyDescent="0.45">
      <c r="A260" s="2">
        <f t="shared" si="22"/>
        <v>258</v>
      </c>
      <c r="B260" s="2">
        <f t="shared" si="21"/>
        <v>54.000000000000412</v>
      </c>
      <c r="C260" s="2">
        <v>80</v>
      </c>
      <c r="D260" s="2">
        <v>0</v>
      </c>
      <c r="E260" s="7">
        <f t="shared" ref="E260:E323" si="23">ABS((SQRT(B260^2+C260^2+D260^2)-SQRT(B259^2+C259^2+D259^2))/(A260-A259))</f>
        <v>0.18688561251640579</v>
      </c>
      <c r="F260" s="7">
        <f t="shared" si="20"/>
        <v>-7.8627365350314449E-4</v>
      </c>
      <c r="G260" s="2">
        <f t="shared" si="19"/>
        <v>0.16369008965110968</v>
      </c>
      <c r="H260" s="2">
        <f>(SystemConstants!$B$6*F260)+(0.5*SystemConstants!$B$7*SystemConstants!$B$5*Data!E260^2)+(0.5*SystemConstants!$B$7*SystemConstants!$B$2*SystemConstants!$B$3*Data!E260^2)</f>
        <v>19.975796106962303</v>
      </c>
      <c r="I260" s="1"/>
      <c r="J260" s="1"/>
      <c r="K260" s="1"/>
    </row>
    <row r="261" spans="1:11" x14ac:dyDescent="0.45">
      <c r="A261" s="2">
        <f t="shared" si="22"/>
        <v>259</v>
      </c>
      <c r="B261" s="2">
        <f t="shared" si="21"/>
        <v>53.666666666667076</v>
      </c>
      <c r="C261" s="2">
        <v>80</v>
      </c>
      <c r="D261" s="2">
        <v>0</v>
      </c>
      <c r="E261" s="7">
        <f t="shared" si="23"/>
        <v>0.18609476277589465</v>
      </c>
      <c r="F261" s="7">
        <f t="shared" si="20"/>
        <v>-7.9084974051113477E-4</v>
      </c>
      <c r="G261" s="2">
        <f t="shared" ref="G261:G324" si="24">DEGREES(ACOS( (B260*B261+C260*C261+D260*D261) / SQRT((B260^2+C260^2+D260^2)*(B261^2+C261^2+D261^2))))</f>
        <v>0.16432386153106726</v>
      </c>
      <c r="H261" s="2">
        <f>(SystemConstants!$B$6*F261)+(0.5*SystemConstants!$B$7*SystemConstants!$B$5*Data!E261^2)+(0.5*SystemConstants!$B$7*SystemConstants!$B$2*SystemConstants!$B$3*Data!E261^2)</f>
        <v>19.807078195190488</v>
      </c>
      <c r="I261" s="1"/>
      <c r="J261" s="1"/>
      <c r="K261" s="1"/>
    </row>
    <row r="262" spans="1:11" x14ac:dyDescent="0.45">
      <c r="A262" s="2">
        <f t="shared" si="22"/>
        <v>260</v>
      </c>
      <c r="B262" s="2">
        <f t="shared" si="21"/>
        <v>53.333333333333741</v>
      </c>
      <c r="C262" s="2">
        <v>80</v>
      </c>
      <c r="D262" s="2">
        <v>0</v>
      </c>
      <c r="E262" s="7">
        <f t="shared" si="23"/>
        <v>0.1852993209602829</v>
      </c>
      <c r="F262" s="7">
        <f t="shared" si="20"/>
        <v>-7.9544181561175265E-4</v>
      </c>
      <c r="G262" s="2">
        <f t="shared" si="24"/>
        <v>0.16495860231351164</v>
      </c>
      <c r="H262" s="2">
        <f>(SystemConstants!$B$6*F262)+(0.5*SystemConstants!$B$7*SystemConstants!$B$5*Data!E262^2)+(0.5*SystemConstants!$B$7*SystemConstants!$B$2*SystemConstants!$B$3*Data!E262^2)</f>
        <v>19.638102339093784</v>
      </c>
      <c r="I262" s="1"/>
      <c r="J262" s="1"/>
      <c r="K262" s="1"/>
    </row>
    <row r="263" spans="1:11" x14ac:dyDescent="0.45">
      <c r="A263" s="2">
        <f t="shared" si="22"/>
        <v>261</v>
      </c>
      <c r="B263" s="2">
        <f t="shared" si="21"/>
        <v>53.000000000000405</v>
      </c>
      <c r="C263" s="2">
        <v>80</v>
      </c>
      <c r="D263" s="2">
        <v>0</v>
      </c>
      <c r="E263" s="7">
        <f t="shared" si="23"/>
        <v>0.18449927130590993</v>
      </c>
      <c r="F263" s="7">
        <f t="shared" si="20"/>
        <v>-8.000496543729696E-4</v>
      </c>
      <c r="G263" s="2">
        <f t="shared" si="24"/>
        <v>0.16559427740347318</v>
      </c>
      <c r="H263" s="2">
        <f>(SystemConstants!$B$6*F263)+(0.5*SystemConstants!$B$7*SystemConstants!$B$5*Data!E263^2)+(0.5*SystemConstants!$B$7*SystemConstants!$B$2*SystemConstants!$B$3*Data!E263^2)</f>
        <v>19.468877747306216</v>
      </c>
      <c r="I263" s="1"/>
      <c r="J263" s="1"/>
      <c r="K263" s="1"/>
    </row>
    <row r="264" spans="1:11" x14ac:dyDescent="0.45">
      <c r="A264" s="2">
        <f t="shared" si="22"/>
        <v>262</v>
      </c>
      <c r="B264" s="2">
        <f t="shared" si="21"/>
        <v>52.666666666667069</v>
      </c>
      <c r="C264" s="2">
        <v>80</v>
      </c>
      <c r="D264" s="2">
        <v>0</v>
      </c>
      <c r="E264" s="7">
        <f t="shared" si="23"/>
        <v>0.18369459828042523</v>
      </c>
      <c r="F264" s="7">
        <f t="shared" si="20"/>
        <v>-8.0467302548470343E-4</v>
      </c>
      <c r="G264" s="2">
        <f t="shared" si="24"/>
        <v>0.16623085153722614</v>
      </c>
      <c r="H264" s="2">
        <f>(SystemConstants!$B$6*F264)+(0.5*SystemConstants!$B$7*SystemConstants!$B$5*Data!E264^2)+(0.5*SystemConstants!$B$7*SystemConstants!$B$2*SystemConstants!$B$3*Data!E264^2)</f>
        <v>19.299413807480899</v>
      </c>
      <c r="I264" s="1"/>
      <c r="J264" s="1"/>
      <c r="K264" s="1"/>
    </row>
    <row r="265" spans="1:11" x14ac:dyDescent="0.45">
      <c r="A265" s="2">
        <f t="shared" si="22"/>
        <v>263</v>
      </c>
      <c r="B265" s="2">
        <f t="shared" si="21"/>
        <v>52.333333333333734</v>
      </c>
      <c r="C265" s="2">
        <v>80</v>
      </c>
      <c r="D265" s="2">
        <v>0</v>
      </c>
      <c r="E265" s="7">
        <f t="shared" si="23"/>
        <v>0.18288528658966641</v>
      </c>
      <c r="F265" s="7">
        <f t="shared" ref="F265:F328" si="25">(E265-E264)/(A265-A264)</f>
        <v>-8.0931169075881826E-4</v>
      </c>
      <c r="G265" s="2">
        <f t="shared" si="24"/>
        <v>0.1668682887664113</v>
      </c>
      <c r="H265" s="2">
        <f>(SystemConstants!$B$6*F265)+(0.5*SystemConstants!$B$7*SystemConstants!$B$5*Data!E265^2)+(0.5*SystemConstants!$B$7*SystemConstants!$B$2*SystemConstants!$B$3*Data!E265^2)</f>
        <v>19.129720087490544</v>
      </c>
      <c r="I265" s="1"/>
      <c r="J265" s="1"/>
      <c r="K265" s="1"/>
    </row>
    <row r="266" spans="1:11" x14ac:dyDescent="0.45">
      <c r="A266" s="2">
        <f t="shared" si="22"/>
        <v>264</v>
      </c>
      <c r="B266" s="2">
        <f t="shared" si="21"/>
        <v>52.000000000000398</v>
      </c>
      <c r="C266" s="2">
        <v>80</v>
      </c>
      <c r="D266" s="2">
        <v>0</v>
      </c>
      <c r="E266" s="7">
        <f t="shared" si="23"/>
        <v>0.18207132118455149</v>
      </c>
      <c r="F266" s="7">
        <f t="shared" si="25"/>
        <v>-8.1396540511491366E-4</v>
      </c>
      <c r="G266" s="2">
        <f t="shared" si="24"/>
        <v>0.16750655247725921</v>
      </c>
      <c r="H266" s="2">
        <f>(SystemConstants!$B$6*F266)+(0.5*SystemConstants!$B$7*SystemConstants!$B$5*Data!E266^2)+(0.5*SystemConstants!$B$7*SystemConstants!$B$2*SystemConstants!$B$3*Data!E266^2)</f>
        <v>18.95980633657696</v>
      </c>
      <c r="I266" s="1"/>
      <c r="J266" s="1"/>
      <c r="K266" s="1"/>
    </row>
    <row r="267" spans="1:11" x14ac:dyDescent="0.45">
      <c r="A267" s="2">
        <f t="shared" si="22"/>
        <v>265</v>
      </c>
      <c r="B267" s="2">
        <f t="shared" si="21"/>
        <v>51.666666666667062</v>
      </c>
      <c r="C267" s="2">
        <v>80</v>
      </c>
      <c r="D267" s="2">
        <v>0</v>
      </c>
      <c r="E267" s="7">
        <f t="shared" si="23"/>
        <v>0.18125268726815591</v>
      </c>
      <c r="F267" s="7">
        <f t="shared" si="25"/>
        <v>-8.1863391639558358E-4</v>
      </c>
      <c r="G267" s="2">
        <f t="shared" si="24"/>
        <v>0.16814560536167261</v>
      </c>
      <c r="H267" s="2">
        <f>(SystemConstants!$B$6*F267)+(0.5*SystemConstants!$B$7*SystemConstants!$B$5*Data!E267^2)+(0.5*SystemConstants!$B$7*SystemConstants!$B$2*SystemConstants!$B$3*Data!E267^2)</f>
        <v>18.789682486483915</v>
      </c>
      <c r="I267" s="1"/>
      <c r="J267" s="1"/>
      <c r="K267" s="1"/>
    </row>
    <row r="268" spans="1:11" x14ac:dyDescent="0.45">
      <c r="A268" s="2">
        <f t="shared" si="22"/>
        <v>266</v>
      </c>
      <c r="B268" s="2">
        <f t="shared" si="21"/>
        <v>51.333333333333727</v>
      </c>
      <c r="C268" s="2">
        <v>80</v>
      </c>
      <c r="D268" s="2">
        <v>0</v>
      </c>
      <c r="E268" s="7">
        <f t="shared" si="23"/>
        <v>0.18042937030271844</v>
      </c>
      <c r="F268" s="7">
        <f t="shared" si="25"/>
        <v>-8.2331696543747057E-4</v>
      </c>
      <c r="G268" s="2">
        <f t="shared" si="24"/>
        <v>0.16878540942357484</v>
      </c>
      <c r="H268" s="2">
        <f>(SystemConstants!$B$6*F268)+(0.5*SystemConstants!$B$7*SystemConstants!$B$5*Data!E268^2)+(0.5*SystemConstants!$B$7*SystemConstants!$B$2*SystemConstants!$B$3*Data!E268^2)</f>
        <v>18.619358652518088</v>
      </c>
      <c r="I268" s="1"/>
      <c r="J268" s="1"/>
      <c r="K268" s="1"/>
    </row>
    <row r="269" spans="1:11" x14ac:dyDescent="0.45">
      <c r="A269" s="2">
        <f t="shared" si="22"/>
        <v>267</v>
      </c>
      <c r="B269" s="2">
        <f t="shared" si="21"/>
        <v>51.000000000000391</v>
      </c>
      <c r="C269" s="2">
        <v>80</v>
      </c>
      <c r="D269" s="2">
        <v>0</v>
      </c>
      <c r="E269" s="7">
        <f t="shared" si="23"/>
        <v>0.17960135601691718</v>
      </c>
      <c r="F269" s="7">
        <f t="shared" si="25"/>
        <v>-8.2801428580125958E-4</v>
      </c>
      <c r="G269" s="2">
        <f t="shared" si="24"/>
        <v>0.16942592596340145</v>
      </c>
      <c r="H269" s="2">
        <f>(SystemConstants!$B$6*F269)+(0.5*SystemConstants!$B$7*SystemConstants!$B$5*Data!E269^2)+(0.5*SystemConstants!$B$7*SystemConstants!$B$2*SystemConstants!$B$3*Data!E269^2)</f>
        <v>18.448845134608316</v>
      </c>
      <c r="I269" s="1"/>
      <c r="J269" s="1"/>
      <c r="K269" s="1"/>
    </row>
    <row r="270" spans="1:11" x14ac:dyDescent="0.45">
      <c r="A270" s="2">
        <f t="shared" si="22"/>
        <v>268</v>
      </c>
      <c r="B270" s="2">
        <f t="shared" si="21"/>
        <v>50.666666666667055</v>
      </c>
      <c r="C270" s="2">
        <v>80</v>
      </c>
      <c r="D270" s="2">
        <v>0</v>
      </c>
      <c r="E270" s="7">
        <f t="shared" si="23"/>
        <v>0.17876863041297497</v>
      </c>
      <c r="F270" s="7">
        <f t="shared" si="25"/>
        <v>-8.3272560394220818E-4</v>
      </c>
      <c r="G270" s="2">
        <f t="shared" si="24"/>
        <v>0.17006711560378629</v>
      </c>
      <c r="H270" s="2">
        <f>(SystemConstants!$B$6*F270)+(0.5*SystemConstants!$B$7*SystemConstants!$B$5*Data!E270^2)+(0.5*SystemConstants!$B$7*SystemConstants!$B$2*SystemConstants!$B$3*Data!E270^2)</f>
        <v>18.278152418269407</v>
      </c>
      <c r="I270" s="1"/>
      <c r="J270" s="1"/>
      <c r="K270" s="1"/>
    </row>
    <row r="271" spans="1:11" x14ac:dyDescent="0.45">
      <c r="A271" s="2">
        <f t="shared" si="22"/>
        <v>269</v>
      </c>
      <c r="B271" s="2">
        <f t="shared" si="21"/>
        <v>50.333333333333719</v>
      </c>
      <c r="C271" s="2">
        <v>80</v>
      </c>
      <c r="D271" s="2">
        <v>0</v>
      </c>
      <c r="E271" s="7">
        <f t="shared" si="23"/>
        <v>0.17793117977404904</v>
      </c>
      <c r="F271" s="7">
        <f t="shared" si="25"/>
        <v>-8.3745063892592952E-4</v>
      </c>
      <c r="G271" s="2">
        <f t="shared" si="24"/>
        <v>0.1707089382504535</v>
      </c>
      <c r="H271" s="2">
        <f>(SystemConstants!$B$6*F271)+(0.5*SystemConstants!$B$7*SystemConstants!$B$5*Data!E271^2)+(0.5*SystemConstants!$B$7*SystemConstants!$B$2*SystemConstants!$B$3*Data!E271^2)</f>
        <v>18.10729117556432</v>
      </c>
      <c r="I271" s="1"/>
      <c r="J271" s="1"/>
      <c r="K271" s="1"/>
    </row>
    <row r="272" spans="1:11" x14ac:dyDescent="0.45">
      <c r="A272" s="2">
        <f t="shared" si="22"/>
        <v>270</v>
      </c>
      <c r="B272" s="2">
        <f t="shared" si="21"/>
        <v>50.000000000000384</v>
      </c>
      <c r="C272" s="2">
        <v>80</v>
      </c>
      <c r="D272" s="2">
        <v>0</v>
      </c>
      <c r="E272" s="7">
        <f t="shared" si="23"/>
        <v>0.17708899067166328</v>
      </c>
      <c r="F272" s="7">
        <f t="shared" si="25"/>
        <v>-8.4218910238575972E-4</v>
      </c>
      <c r="G272" s="2">
        <f t="shared" si="24"/>
        <v>0.17135135311145347</v>
      </c>
      <c r="H272" s="2">
        <f>(SystemConstants!$B$6*F272)+(0.5*SystemConstants!$B$7*SystemConstants!$B$5*Data!E272^2)+(0.5*SystemConstants!$B$7*SystemConstants!$B$2*SystemConstants!$B$3*Data!E272^2)</f>
        <v>17.936272266012043</v>
      </c>
      <c r="I272" s="1"/>
      <c r="J272" s="1"/>
      <c r="K272" s="1"/>
    </row>
    <row r="273" spans="1:11" x14ac:dyDescent="0.45">
      <c r="A273" s="2">
        <f t="shared" si="22"/>
        <v>271</v>
      </c>
      <c r="B273" s="2">
        <f t="shared" si="21"/>
        <v>49.666666666667048</v>
      </c>
      <c r="C273" s="2">
        <v>80</v>
      </c>
      <c r="D273" s="2">
        <v>0</v>
      </c>
      <c r="E273" s="7">
        <f t="shared" si="23"/>
        <v>0.1762420499729842</v>
      </c>
      <c r="F273" s="7">
        <f t="shared" si="25"/>
        <v>-8.4694069867907729E-4</v>
      </c>
      <c r="G273" s="2">
        <f t="shared" si="24"/>
        <v>0.17199431868192158</v>
      </c>
      <c r="H273" s="2">
        <f>(SystemConstants!$B$6*F273)+(0.5*SystemConstants!$B$7*SystemConstants!$B$5*Data!E273^2)+(0.5*SystemConstants!$B$7*SystemConstants!$B$2*SystemConstants!$B$3*Data!E273^2)</f>
        <v>17.76510673739995</v>
      </c>
      <c r="I273" s="1"/>
      <c r="J273" s="1"/>
      <c r="K273" s="1"/>
    </row>
    <row r="274" spans="1:11" x14ac:dyDescent="0.45">
      <c r="A274" s="2">
        <f t="shared" si="22"/>
        <v>272</v>
      </c>
      <c r="B274" s="2">
        <f t="shared" si="21"/>
        <v>49.333333333333712</v>
      </c>
      <c r="C274" s="2">
        <v>80</v>
      </c>
      <c r="D274" s="2">
        <v>0</v>
      </c>
      <c r="E274" s="7">
        <f t="shared" si="23"/>
        <v>0.17539034484848059</v>
      </c>
      <c r="F274" s="7">
        <f t="shared" si="25"/>
        <v>-8.5170512450361002E-4</v>
      </c>
      <c r="G274" s="2">
        <f t="shared" si="24"/>
        <v>0.17263779276719454</v>
      </c>
      <c r="H274" s="2">
        <f>(SystemConstants!$B$6*F274)+(0.5*SystemConstants!$B$7*SystemConstants!$B$5*Data!E274^2)+(0.5*SystemConstants!$B$7*SystemConstants!$B$2*SystemConstants!$B$3*Data!E274^2)</f>
        <v>17.593805826609618</v>
      </c>
      <c r="I274" s="1"/>
      <c r="J274" s="1"/>
      <c r="K274" s="1"/>
    </row>
    <row r="275" spans="1:11" x14ac:dyDescent="0.45">
      <c r="A275" s="2">
        <f t="shared" si="22"/>
        <v>273</v>
      </c>
      <c r="B275" s="2">
        <f t="shared" si="21"/>
        <v>49.000000000000377</v>
      </c>
      <c r="C275" s="2">
        <v>80</v>
      </c>
      <c r="D275" s="2">
        <v>0</v>
      </c>
      <c r="E275" s="7">
        <f t="shared" si="23"/>
        <v>0.17453386277945526</v>
      </c>
      <c r="F275" s="7">
        <f t="shared" si="25"/>
        <v>-8.5648206902533275E-4</v>
      </c>
      <c r="G275" s="2">
        <f t="shared" si="24"/>
        <v>0.17328173242324496</v>
      </c>
      <c r="H275" s="2">
        <f>(SystemConstants!$B$6*F275)+(0.5*SystemConstants!$B$7*SystemConstants!$B$5*Data!E275^2)+(0.5*SystemConstants!$B$7*SystemConstants!$B$2*SystemConstants!$B$3*Data!E275^2)</f>
        <v>17.422380960349525</v>
      </c>
      <c r="I275" s="1"/>
      <c r="J275" s="1"/>
      <c r="K275" s="1"/>
    </row>
    <row r="276" spans="1:11" x14ac:dyDescent="0.45">
      <c r="A276" s="2">
        <f t="shared" si="22"/>
        <v>274</v>
      </c>
      <c r="B276" s="2">
        <f t="shared" si="21"/>
        <v>48.666666666667041</v>
      </c>
      <c r="C276" s="2">
        <v>80</v>
      </c>
      <c r="D276" s="2">
        <v>0</v>
      </c>
      <c r="E276" s="7">
        <f t="shared" si="23"/>
        <v>0.17367259156569048</v>
      </c>
      <c r="F276" s="7">
        <f t="shared" si="25"/>
        <v>-8.6127121376478044E-4</v>
      </c>
      <c r="G276" s="2">
        <f t="shared" si="24"/>
        <v>0.17392609402417261</v>
      </c>
      <c r="H276" s="2">
        <f>(SystemConstants!$B$6*F276)+(0.5*SystemConstants!$B$7*SystemConstants!$B$5*Data!E276^2)+(0.5*SystemConstants!$B$7*SystemConstants!$B$2*SystemConstants!$B$3*Data!E276^2)</f>
        <v>17.250843755842975</v>
      </c>
      <c r="I276" s="1"/>
      <c r="J276" s="1"/>
      <c r="K276" s="1"/>
    </row>
    <row r="277" spans="1:11" x14ac:dyDescent="0.45">
      <c r="A277" s="2">
        <f t="shared" si="22"/>
        <v>275</v>
      </c>
      <c r="B277" s="2">
        <f t="shared" si="21"/>
        <v>48.333333333333705</v>
      </c>
      <c r="C277" s="2">
        <v>80</v>
      </c>
      <c r="D277" s="2">
        <v>0</v>
      </c>
      <c r="E277" s="7">
        <f t="shared" si="23"/>
        <v>0.17280651933307922</v>
      </c>
      <c r="F277" s="7">
        <f t="shared" si="25"/>
        <v>-8.660722326112591E-4</v>
      </c>
      <c r="G277" s="2">
        <f t="shared" si="24"/>
        <v>0.1745708332132368</v>
      </c>
      <c r="H277" s="2">
        <f>(SystemConstants!$B$6*F277)+(0.5*SystemConstants!$B$7*SystemConstants!$B$5*Data!E277^2)+(0.5*SystemConstants!$B$7*SystemConstants!$B$2*SystemConstants!$B$3*Data!E277^2)</f>
        <v>17.079206021443987</v>
      </c>
      <c r="I277" s="1"/>
      <c r="J277" s="1"/>
      <c r="K277" s="1"/>
    </row>
    <row r="278" spans="1:11" x14ac:dyDescent="0.45">
      <c r="A278" s="2">
        <f t="shared" si="22"/>
        <v>276</v>
      </c>
      <c r="B278" s="2">
        <f t="shared" si="21"/>
        <v>48.000000000000369</v>
      </c>
      <c r="C278" s="2">
        <v>80</v>
      </c>
      <c r="D278" s="2">
        <v>0</v>
      </c>
      <c r="E278" s="7">
        <f t="shared" si="23"/>
        <v>0.1719356345415548</v>
      </c>
      <c r="F278" s="7">
        <f t="shared" si="25"/>
        <v>-8.7088479152441778E-4</v>
      </c>
      <c r="G278" s="2">
        <f t="shared" si="24"/>
        <v>0.17521590490690181</v>
      </c>
      <c r="H278" s="2">
        <f>(SystemConstants!$B$6*F278)+(0.5*SystemConstants!$B$7*SystemConstants!$B$5*Data!E278^2)+(0.5*SystemConstants!$B$7*SystemConstants!$B$2*SystemConstants!$B$3*Data!E278^2)</f>
        <v>16.907479757242051</v>
      </c>
      <c r="I278" s="1"/>
      <c r="J278" s="1"/>
      <c r="K278" s="1"/>
    </row>
    <row r="279" spans="1:11" x14ac:dyDescent="0.45">
      <c r="A279" s="2">
        <f t="shared" si="22"/>
        <v>277</v>
      </c>
      <c r="B279" s="2">
        <f t="shared" si="21"/>
        <v>47.666666666667034</v>
      </c>
      <c r="C279" s="2">
        <v>80</v>
      </c>
      <c r="D279" s="2">
        <v>0</v>
      </c>
      <c r="E279" s="7">
        <f t="shared" si="23"/>
        <v>0.17105992599266528</v>
      </c>
      <c r="F279" s="7">
        <f t="shared" si="25"/>
        <v>-8.7570854888951999E-4</v>
      </c>
      <c r="G279" s="2">
        <f t="shared" si="24"/>
        <v>0.17586126331322072</v>
      </c>
      <c r="H279" s="2">
        <f>(SystemConstants!$B$6*F279)+(0.5*SystemConstants!$B$7*SystemConstants!$B$5*Data!E279^2)+(0.5*SystemConstants!$B$7*SystemConstants!$B$2*SystemConstants!$B$3*Data!E279^2)</f>
        <v>16.73567715552371</v>
      </c>
      <c r="I279" s="1"/>
      <c r="J279" s="1"/>
      <c r="K279" s="1"/>
    </row>
    <row r="280" spans="1:11" x14ac:dyDescent="0.45">
      <c r="A280" s="2">
        <f t="shared" si="22"/>
        <v>278</v>
      </c>
      <c r="B280" s="2">
        <f t="shared" si="21"/>
        <v>47.333333333333698</v>
      </c>
      <c r="C280" s="2">
        <v>80</v>
      </c>
      <c r="D280" s="2">
        <v>0</v>
      </c>
      <c r="E280" s="7">
        <f t="shared" si="23"/>
        <v>0.17017938283773049</v>
      </c>
      <c r="F280" s="7">
        <f t="shared" si="25"/>
        <v>-8.8054315493479862E-4</v>
      </c>
      <c r="G280" s="2">
        <f t="shared" si="24"/>
        <v>0.17650686189809586</v>
      </c>
      <c r="H280" s="2">
        <f>(SystemConstants!$B$6*F280)+(0.5*SystemConstants!$B$7*SystemConstants!$B$5*Data!E280^2)+(0.5*SystemConstants!$B$7*SystemConstants!$B$2*SystemConstants!$B$3*Data!E280^2)</f>
        <v>16.5638106012767</v>
      </c>
      <c r="I280" s="1"/>
      <c r="J280" s="1"/>
      <c r="K280" s="1"/>
    </row>
    <row r="281" spans="1:11" x14ac:dyDescent="0.45">
      <c r="A281" s="2">
        <f t="shared" si="22"/>
        <v>279</v>
      </c>
      <c r="B281" s="2">
        <f t="shared" si="21"/>
        <v>47.000000000000362</v>
      </c>
      <c r="C281" s="2">
        <v>80</v>
      </c>
      <c r="D281" s="2">
        <v>0</v>
      </c>
      <c r="E281" s="7">
        <f t="shared" si="23"/>
        <v>0.16929399458545902</v>
      </c>
      <c r="F281" s="7">
        <f t="shared" si="25"/>
        <v>-8.8538825227146845E-4</v>
      </c>
      <c r="G281" s="2">
        <f t="shared" si="24"/>
        <v>0.17715265342207173</v>
      </c>
      <c r="H281" s="2">
        <f>(SystemConstants!$B$6*F281)+(0.5*SystemConstants!$B$7*SystemConstants!$B$5*Data!E281^2)+(0.5*SystemConstants!$B$7*SystemConstants!$B$2*SystemConstants!$B$3*Data!E281^2)</f>
        <v>16.391892672511851</v>
      </c>
      <c r="I281" s="1"/>
      <c r="J281" s="1"/>
      <c r="K281" s="1"/>
    </row>
    <row r="282" spans="1:11" x14ac:dyDescent="0.45">
      <c r="A282" s="2">
        <f t="shared" si="22"/>
        <v>280</v>
      </c>
      <c r="B282" s="2">
        <f t="shared" si="21"/>
        <v>46.666666666667027</v>
      </c>
      <c r="C282" s="2">
        <v>80</v>
      </c>
      <c r="D282" s="2">
        <v>0</v>
      </c>
      <c r="E282" s="7">
        <f t="shared" si="23"/>
        <v>0.16840375111026162</v>
      </c>
      <c r="F282" s="7">
        <f t="shared" si="25"/>
        <v>-8.9024347519739422E-4</v>
      </c>
      <c r="G282" s="2">
        <f t="shared" si="24"/>
        <v>0.17779858991691314</v>
      </c>
      <c r="H282" s="2">
        <f>(SystemConstants!$B$6*F282)+(0.5*SystemConstants!$B$7*SystemConstants!$B$5*Data!E282^2)+(0.5*SystemConstants!$B$7*SystemConstants!$B$2*SystemConstants!$B$3*Data!E282^2)</f>
        <v>16.219936140646194</v>
      </c>
      <c r="I282" s="1"/>
      <c r="J282" s="1"/>
      <c r="K282" s="1"/>
    </row>
    <row r="283" spans="1:11" x14ac:dyDescent="0.45">
      <c r="A283" s="2">
        <f t="shared" si="22"/>
        <v>281</v>
      </c>
      <c r="B283" s="2">
        <f t="shared" si="21"/>
        <v>46.333333333333691</v>
      </c>
      <c r="C283" s="2">
        <v>80</v>
      </c>
      <c r="D283" s="2">
        <v>0</v>
      </c>
      <c r="E283" s="7">
        <f t="shared" si="23"/>
        <v>0.16750864265998189</v>
      </c>
      <c r="F283" s="7">
        <f t="shared" si="25"/>
        <v>-8.9510845027973573E-4</v>
      </c>
      <c r="G283" s="2">
        <f t="shared" si="24"/>
        <v>0.17844462266647113</v>
      </c>
      <c r="H283" s="2">
        <f>(SystemConstants!$B$6*F283)+(0.5*SystemConstants!$B$7*SystemConstants!$B$5*Data!E283^2)+(0.5*SystemConstants!$B$7*SystemConstants!$B$2*SystemConstants!$B$3*Data!E283^2)</f>
        <v>16.047953970693513</v>
      </c>
      <c r="I283" s="1"/>
      <c r="J283" s="1"/>
      <c r="K283" s="1"/>
    </row>
    <row r="284" spans="1:11" x14ac:dyDescent="0.45">
      <c r="A284" s="2">
        <f t="shared" si="22"/>
        <v>282</v>
      </c>
      <c r="B284" s="2">
        <f t="shared" si="21"/>
        <v>46.000000000000355</v>
      </c>
      <c r="C284" s="2">
        <v>80</v>
      </c>
      <c r="D284" s="2">
        <v>0</v>
      </c>
      <c r="E284" s="7">
        <f t="shared" si="23"/>
        <v>0.1666086598640959</v>
      </c>
      <c r="F284" s="7">
        <f t="shared" si="25"/>
        <v>-8.9998279588598962E-4</v>
      </c>
      <c r="G284" s="2">
        <f t="shared" si="24"/>
        <v>0.17909070224496418</v>
      </c>
      <c r="H284" s="2">
        <f>(SystemConstants!$B$6*F284)+(0.5*SystemConstants!$B$7*SystemConstants!$B$5*Data!E284^2)+(0.5*SystemConstants!$B$7*SystemConstants!$B$2*SystemConstants!$B$3*Data!E284^2)</f>
        <v>15.875959321468274</v>
      </c>
      <c r="I284" s="1"/>
      <c r="J284" s="1"/>
      <c r="K284" s="1"/>
    </row>
    <row r="285" spans="1:11" x14ac:dyDescent="0.45">
      <c r="A285" s="2">
        <f t="shared" si="22"/>
        <v>283</v>
      </c>
      <c r="B285" s="2">
        <f t="shared" si="21"/>
        <v>45.66666666666702</v>
      </c>
      <c r="C285" s="2">
        <v>80</v>
      </c>
      <c r="D285" s="2">
        <v>0</v>
      </c>
      <c r="E285" s="7">
        <f t="shared" si="23"/>
        <v>0.16570379374191191</v>
      </c>
      <c r="F285" s="7">
        <f t="shared" si="25"/>
        <v>-9.0486612218398932E-4</v>
      </c>
      <c r="G285" s="2">
        <f t="shared" si="24"/>
        <v>0.17973677850559161</v>
      </c>
      <c r="H285" s="2">
        <f>(SystemConstants!$B$6*F285)+(0.5*SystemConstants!$B$7*SystemConstants!$B$5*Data!E285^2)+(0.5*SystemConstants!$B$7*SystemConstants!$B$2*SystemConstants!$B$3*Data!E285^2)</f>
        <v>15.703965545708011</v>
      </c>
      <c r="I285" s="1"/>
      <c r="J285" s="1"/>
      <c r="K285" s="1"/>
    </row>
    <row r="286" spans="1:11" x14ac:dyDescent="0.45">
      <c r="A286" s="2">
        <f t="shared" si="22"/>
        <v>284</v>
      </c>
      <c r="B286" s="2">
        <f t="shared" si="21"/>
        <v>45.333333333333684</v>
      </c>
      <c r="C286" s="2">
        <v>80</v>
      </c>
      <c r="D286" s="2">
        <v>0</v>
      </c>
      <c r="E286" s="7">
        <f t="shared" si="23"/>
        <v>0.1647940357105</v>
      </c>
      <c r="F286" s="7">
        <f t="shared" si="25"/>
        <v>-9.0975803141191136E-4</v>
      </c>
      <c r="G286" s="2">
        <f t="shared" si="24"/>
        <v>0.18038280055105643</v>
      </c>
      <c r="H286" s="2">
        <f>(SystemConstants!$B$6*F286)+(0.5*SystemConstants!$B$7*SystemConstants!$B$5*Data!E286^2)+(0.5*SystemConstants!$B$7*SystemConstants!$B$2*SystemConstants!$B$3*Data!E286^2)</f>
        <v>15.531986190062417</v>
      </c>
      <c r="I286" s="1"/>
      <c r="J286" s="1"/>
      <c r="K286" s="1"/>
    </row>
    <row r="287" spans="1:11" x14ac:dyDescent="0.45">
      <c r="A287" s="2">
        <f t="shared" si="22"/>
        <v>285</v>
      </c>
      <c r="B287" s="2">
        <f t="shared" si="21"/>
        <v>45.000000000000348</v>
      </c>
      <c r="C287" s="2">
        <v>80</v>
      </c>
      <c r="D287" s="2">
        <v>0</v>
      </c>
      <c r="E287" s="7">
        <f t="shared" si="23"/>
        <v>0.1638793775931191</v>
      </c>
      <c r="F287" s="7">
        <f t="shared" si="25"/>
        <v>-9.1465811738089542E-4</v>
      </c>
      <c r="G287" s="2">
        <f t="shared" si="24"/>
        <v>0.18102871676907298</v>
      </c>
      <c r="H287" s="2">
        <f>(SystemConstants!$B$6*F287)+(0.5*SystemConstants!$B$7*SystemConstants!$B$5*Data!E287^2)+(0.5*SystemConstants!$B$7*SystemConstants!$B$2*SystemConstants!$B$3*Data!E287^2)</f>
        <v>15.360034995094846</v>
      </c>
      <c r="I287" s="1"/>
      <c r="J287" s="1"/>
      <c r="K287" s="1"/>
    </row>
    <row r="288" spans="1:11" x14ac:dyDescent="0.45">
      <c r="A288" s="2">
        <f t="shared" si="22"/>
        <v>286</v>
      </c>
      <c r="B288" s="2">
        <f t="shared" si="21"/>
        <v>44.666666666667012</v>
      </c>
      <c r="C288" s="2">
        <v>80</v>
      </c>
      <c r="D288" s="2">
        <v>0</v>
      </c>
      <c r="E288" s="7">
        <f t="shared" si="23"/>
        <v>0.16295981162734563</v>
      </c>
      <c r="F288" s="7">
        <f t="shared" si="25"/>
        <v>-9.1956596577347227E-4</v>
      </c>
      <c r="G288" s="2">
        <f t="shared" si="24"/>
        <v>0.18167447481266011</v>
      </c>
      <c r="H288" s="2">
        <f>(SystemConstants!$B$6*F288)+(0.5*SystemConstants!$B$7*SystemConstants!$B$5*Data!E288^2)+(0.5*SystemConstants!$B$7*SystemConstants!$B$2*SystemConstants!$B$3*Data!E288^2)</f>
        <v>15.188125895141654</v>
      </c>
      <c r="I288" s="1"/>
      <c r="J288" s="1"/>
      <c r="K288" s="1"/>
    </row>
    <row r="289" spans="1:11" x14ac:dyDescent="0.45">
      <c r="A289" s="2">
        <f t="shared" si="22"/>
        <v>287</v>
      </c>
      <c r="B289" s="2">
        <f t="shared" si="21"/>
        <v>44.333333333333677</v>
      </c>
      <c r="C289" s="2">
        <v>80</v>
      </c>
      <c r="D289" s="2">
        <v>0</v>
      </c>
      <c r="E289" s="7">
        <f t="shared" si="23"/>
        <v>0.16203533047327312</v>
      </c>
      <c r="F289" s="7">
        <f t="shared" si="25"/>
        <v>-9.2448115407250953E-4</v>
      </c>
      <c r="G289" s="2">
        <f t="shared" si="24"/>
        <v>0.18232002161885566</v>
      </c>
      <c r="H289" s="2">
        <f>(SystemConstants!$B$6*F289)+(0.5*SystemConstants!$B$7*SystemConstants!$B$5*Data!E289^2)+(0.5*SystemConstants!$B$7*SystemConstants!$B$2*SystemConstants!$B$3*Data!E289^2)</f>
        <v>15.016273018100053</v>
      </c>
      <c r="I289" s="1"/>
      <c r="J289" s="1"/>
      <c r="K289" s="1"/>
    </row>
    <row r="290" spans="1:11" x14ac:dyDescent="0.45">
      <c r="A290" s="2">
        <f t="shared" si="22"/>
        <v>288</v>
      </c>
      <c r="B290" s="2">
        <f t="shared" si="21"/>
        <v>44.000000000000341</v>
      </c>
      <c r="C290" s="2">
        <v>80</v>
      </c>
      <c r="D290" s="2">
        <v>0</v>
      </c>
      <c r="E290" s="7">
        <f t="shared" si="23"/>
        <v>0.16110592722186823</v>
      </c>
      <c r="F290" s="7">
        <f t="shared" si="25"/>
        <v>-9.2940325140489222E-4</v>
      </c>
      <c r="G290" s="2">
        <f t="shared" si="24"/>
        <v>0.18296530338694877</v>
      </c>
      <c r="H290" s="2">
        <f>(SystemConstants!$B$6*F290)+(0.5*SystemConstants!$B$7*SystemConstants!$B$5*Data!E290^2)+(0.5*SystemConstants!$B$7*SystemConstants!$B$2*SystemConstants!$B$3*Data!E290^2)</f>
        <v>14.844490685158323</v>
      </c>
      <c r="I290" s="1"/>
      <c r="J290" s="1"/>
      <c r="K290" s="1"/>
    </row>
    <row r="291" spans="1:11" x14ac:dyDescent="0.45">
      <c r="A291" s="2">
        <f t="shared" si="22"/>
        <v>289</v>
      </c>
      <c r="B291" s="2">
        <f t="shared" si="21"/>
        <v>43.666666666667005</v>
      </c>
      <c r="C291" s="2">
        <v>80</v>
      </c>
      <c r="D291" s="2">
        <v>0</v>
      </c>
      <c r="E291" s="7">
        <f t="shared" si="23"/>
        <v>0.16017159540336934</v>
      </c>
      <c r="F291" s="7">
        <f t="shared" si="25"/>
        <v>-9.3433181849889024E-4</v>
      </c>
      <c r="G291" s="2">
        <f t="shared" si="24"/>
        <v>0.18361026559660898</v>
      </c>
      <c r="H291" s="2">
        <f>(SystemConstants!$B$6*F291)+(0.5*SystemConstants!$B$7*SystemConstants!$B$5*Data!E291^2)+(0.5*SystemConstants!$B$7*SystemConstants!$B$2*SystemConstants!$B$3*Data!E291^2)</f>
        <v>14.672793410445099</v>
      </c>
      <c r="I291" s="1"/>
      <c r="J291" s="1"/>
      <c r="K291" s="1"/>
    </row>
    <row r="292" spans="1:11" x14ac:dyDescent="0.45">
      <c r="A292" s="2">
        <f t="shared" si="22"/>
        <v>290</v>
      </c>
      <c r="B292" s="2">
        <f t="shared" si="21"/>
        <v>43.33333333333367</v>
      </c>
      <c r="C292" s="2">
        <v>80</v>
      </c>
      <c r="D292" s="2">
        <v>0</v>
      </c>
      <c r="E292" s="7">
        <f t="shared" si="23"/>
        <v>0.15923232899538675</v>
      </c>
      <c r="F292" s="7">
        <f t="shared" si="25"/>
        <v>-9.3926640798258632E-4</v>
      </c>
      <c r="G292" s="2">
        <f t="shared" si="24"/>
        <v>0.18425485300789898</v>
      </c>
      <c r="H292" s="2">
        <f>(SystemConstants!$B$6*F292)+(0.5*SystemConstants!$B$7*SystemConstants!$B$5*Data!E292^2)+(0.5*SystemConstants!$B$7*SystemConstants!$B$2*SystemConstants!$B$3*Data!E292^2)</f>
        <v>14.501195900533901</v>
      </c>
      <c r="I292" s="1"/>
      <c r="J292" s="1"/>
      <c r="K292" s="1"/>
    </row>
    <row r="293" spans="1:11" x14ac:dyDescent="0.45">
      <c r="A293" s="2">
        <f t="shared" si="22"/>
        <v>291</v>
      </c>
      <c r="B293" s="2">
        <f t="shared" si="21"/>
        <v>43.000000000000334</v>
      </c>
      <c r="C293" s="2">
        <v>80</v>
      </c>
      <c r="D293" s="2">
        <v>0</v>
      </c>
      <c r="E293" s="7">
        <f t="shared" si="23"/>
        <v>0.1582881224315571</v>
      </c>
      <c r="F293" s="7">
        <f t="shared" si="25"/>
        <v>-9.4420656382965262E-4</v>
      </c>
      <c r="G293" s="2">
        <f t="shared" si="24"/>
        <v>0.18489900965491349</v>
      </c>
      <c r="H293" s="2">
        <f>(SystemConstants!$B$6*F293)+(0.5*SystemConstants!$B$7*SystemConstants!$B$5*Data!E293^2)+(0.5*SystemConstants!$B$7*SystemConstants!$B$2*SystemConstants!$B$3*Data!E293^2)</f>
        <v>14.329713053959722</v>
      </c>
      <c r="I293" s="1"/>
      <c r="J293" s="1"/>
      <c r="K293" s="1"/>
    </row>
    <row r="294" spans="1:11" x14ac:dyDescent="0.45">
      <c r="A294" s="2">
        <f t="shared" si="22"/>
        <v>292</v>
      </c>
      <c r="B294" s="2">
        <f t="shared" si="21"/>
        <v>42.666666666666998</v>
      </c>
      <c r="C294" s="2">
        <v>80</v>
      </c>
      <c r="D294" s="2">
        <v>0</v>
      </c>
      <c r="E294" s="7">
        <f t="shared" si="23"/>
        <v>0.15733897060964352</v>
      </c>
      <c r="F294" s="7">
        <f t="shared" si="25"/>
        <v>-9.4915182191357417E-4</v>
      </c>
      <c r="G294" s="2">
        <f t="shared" si="24"/>
        <v>0.18554267885135156</v>
      </c>
      <c r="H294" s="2">
        <f>(SystemConstants!$B$6*F294)+(0.5*SystemConstants!$B$7*SystemConstants!$B$5*Data!E294^2)+(0.5*SystemConstants!$B$7*SystemConstants!$B$2*SystemConstants!$B$3*Data!E294^2)</f>
        <v>14.158359960540846</v>
      </c>
      <c r="I294" s="1"/>
      <c r="J294" s="1"/>
      <c r="K294" s="1"/>
    </row>
    <row r="295" spans="1:11" x14ac:dyDescent="0.45">
      <c r="A295" s="2">
        <f t="shared" si="22"/>
        <v>293</v>
      </c>
      <c r="B295" s="2">
        <f t="shared" si="21"/>
        <v>42.333333333333663</v>
      </c>
      <c r="C295" s="2">
        <v>80</v>
      </c>
      <c r="D295" s="2">
        <v>0</v>
      </c>
      <c r="E295" s="7">
        <f t="shared" si="23"/>
        <v>0.15638486890011905</v>
      </c>
      <c r="F295" s="7">
        <f t="shared" si="25"/>
        <v>-9.541017095244797E-4</v>
      </c>
      <c r="G295" s="2">
        <f t="shared" si="24"/>
        <v>0.18618580320354419</v>
      </c>
      <c r="H295" s="2">
        <f>(SystemConstants!$B$6*F295)+(0.5*SystemConstants!$B$7*SystemConstants!$B$5*Data!E295^2)+(0.5*SystemConstants!$B$7*SystemConstants!$B$2*SystemConstants!$B$3*Data!E295^2)</f>
        <v>13.987151900696789</v>
      </c>
      <c r="I295" s="1"/>
      <c r="J295" s="1"/>
      <c r="K295" s="1"/>
    </row>
    <row r="296" spans="1:11" x14ac:dyDescent="0.45">
      <c r="A296" s="2">
        <f t="shared" si="22"/>
        <v>294</v>
      </c>
      <c r="B296" s="2">
        <f t="shared" si="21"/>
        <v>42.000000000000327</v>
      </c>
      <c r="C296" s="2">
        <v>80</v>
      </c>
      <c r="D296" s="2">
        <v>0</v>
      </c>
      <c r="E296" s="7">
        <f t="shared" si="23"/>
        <v>0.15542581315442305</v>
      </c>
      <c r="F296" s="7">
        <f t="shared" si="25"/>
        <v>-9.5905574569599139E-4</v>
      </c>
      <c r="G296" s="2">
        <f t="shared" si="24"/>
        <v>0.18682832459563292</v>
      </c>
      <c r="H296" s="2">
        <f>(SystemConstants!$B$6*F296)+(0.5*SystemConstants!$B$7*SystemConstants!$B$5*Data!E296^2)+(0.5*SystemConstants!$B$7*SystemConstants!$B$2*SystemConstants!$B$3*Data!E296^2)</f>
        <v>13.816104344611682</v>
      </c>
      <c r="I296" s="1"/>
      <c r="J296" s="1"/>
      <c r="K296" s="1"/>
    </row>
    <row r="297" spans="1:11" x14ac:dyDescent="0.45">
      <c r="A297" s="2">
        <f t="shared" si="22"/>
        <v>295</v>
      </c>
      <c r="B297" s="2">
        <f t="shared" si="21"/>
        <v>41.666666666666991</v>
      </c>
      <c r="C297" s="2">
        <v>80</v>
      </c>
      <c r="D297" s="2">
        <v>0</v>
      </c>
      <c r="E297" s="7">
        <f t="shared" si="23"/>
        <v>0.15446179971341678</v>
      </c>
      <c r="F297" s="7">
        <f t="shared" si="25"/>
        <v>-9.6401344100627284E-4</v>
      </c>
      <c r="G297" s="2">
        <f t="shared" si="24"/>
        <v>0.18747018420413675</v>
      </c>
      <c r="H297" s="2">
        <f>(SystemConstants!$B$6*F297)+(0.5*SystemConstants!$B$7*SystemConstants!$B$5*Data!E297^2)+(0.5*SystemConstants!$B$7*SystemConstants!$B$2*SystemConstants!$B$3*Data!E297^2)</f>
        <v>13.645232951338812</v>
      </c>
      <c r="I297" s="1"/>
      <c r="J297" s="1"/>
      <c r="K297" s="1"/>
    </row>
    <row r="298" spans="1:11" x14ac:dyDescent="0.45">
      <c r="A298" s="2">
        <f t="shared" si="22"/>
        <v>296</v>
      </c>
      <c r="B298" s="2">
        <f t="shared" si="21"/>
        <v>41.333333333333655</v>
      </c>
      <c r="C298" s="2">
        <v>80</v>
      </c>
      <c r="D298" s="2">
        <v>0</v>
      </c>
      <c r="E298" s="7">
        <f t="shared" si="23"/>
        <v>0.15349282541581033</v>
      </c>
      <c r="F298" s="7">
        <f t="shared" si="25"/>
        <v>-9.6897429760645082E-4</v>
      </c>
      <c r="G298" s="2">
        <f t="shared" si="24"/>
        <v>0.18811132250606893</v>
      </c>
      <c r="H298" s="2">
        <f>(SystemConstants!$B$6*F298)+(0.5*SystemConstants!$B$7*SystemConstants!$B$5*Data!E298^2)+(0.5*SystemConstants!$B$7*SystemConstants!$B$2*SystemConstants!$B$3*Data!E298^2)</f>
        <v>13.47455356780296</v>
      </c>
      <c r="I298" s="1"/>
      <c r="J298" s="1"/>
      <c r="K298" s="1"/>
    </row>
    <row r="299" spans="1:11" x14ac:dyDescent="0.45">
      <c r="A299" s="2">
        <f t="shared" si="22"/>
        <v>297</v>
      </c>
      <c r="B299" s="2">
        <f t="shared" si="21"/>
        <v>41.00000000000032</v>
      </c>
      <c r="C299" s="2">
        <v>80</v>
      </c>
      <c r="D299" s="2">
        <v>0</v>
      </c>
      <c r="E299" s="7">
        <f t="shared" si="23"/>
        <v>0.15251888760650445</v>
      </c>
      <c r="F299" s="7">
        <f t="shared" si="25"/>
        <v>-9.7393780930588036E-4</v>
      </c>
      <c r="G299" s="2">
        <f t="shared" si="24"/>
        <v>0.18875167926934439</v>
      </c>
      <c r="H299" s="2">
        <f>(SystemConstants!$B$6*F299)+(0.5*SystemConstants!$B$7*SystemConstants!$B$5*Data!E299^2)+(0.5*SystemConstants!$B$7*SystemConstants!$B$2*SystemConstants!$B$3*Data!E299^2)</f>
        <v>13.304082227690017</v>
      </c>
      <c r="I299" s="1"/>
      <c r="J299" s="1"/>
      <c r="K299" s="1"/>
    </row>
    <row r="300" spans="1:11" x14ac:dyDescent="0.45">
      <c r="A300" s="2">
        <f t="shared" si="22"/>
        <v>298</v>
      </c>
      <c r="B300" s="2">
        <f t="shared" si="21"/>
        <v>40.666666666666984</v>
      </c>
      <c r="C300" s="2">
        <v>80</v>
      </c>
      <c r="D300" s="2">
        <v>0</v>
      </c>
      <c r="E300" s="7">
        <f t="shared" si="23"/>
        <v>0.15153998414496073</v>
      </c>
      <c r="F300" s="7">
        <f t="shared" si="25"/>
        <v>-9.789034615437231E-4</v>
      </c>
      <c r="G300" s="2">
        <f t="shared" si="24"/>
        <v>0.18939119357205395</v>
      </c>
      <c r="H300" s="2">
        <f>(SystemConstants!$B$6*F300)+(0.5*SystemConstants!$B$7*SystemConstants!$B$5*Data!E300^2)+(0.5*SystemConstants!$B$7*SystemConstants!$B$2*SystemConstants!$B$3*Data!E300^2)</f>
        <v>13.133835150243273</v>
      </c>
      <c r="I300" s="1"/>
      <c r="J300" s="1"/>
      <c r="K300" s="1"/>
    </row>
    <row r="301" spans="1:11" x14ac:dyDescent="0.45">
      <c r="A301" s="2">
        <f t="shared" si="22"/>
        <v>299</v>
      </c>
      <c r="B301" s="2">
        <f t="shared" si="21"/>
        <v>40.333333333333648</v>
      </c>
      <c r="C301" s="2">
        <v>80</v>
      </c>
      <c r="D301" s="2">
        <v>0</v>
      </c>
      <c r="E301" s="7">
        <f t="shared" si="23"/>
        <v>0.15055611341361441</v>
      </c>
      <c r="F301" s="7">
        <f t="shared" si="25"/>
        <v>-9.8387073134631464E-4</v>
      </c>
      <c r="G301" s="2">
        <f t="shared" si="24"/>
        <v>0.19002980379418205</v>
      </c>
      <c r="H301" s="2">
        <f>(SystemConstants!$B$6*F301)+(0.5*SystemConstants!$B$7*SystemConstants!$B$5*Data!E301^2)+(0.5*SystemConstants!$B$7*SystemConstants!$B$2*SystemConstants!$B$3*Data!E301^2)</f>
        <v>12.963828738967544</v>
      </c>
      <c r="I301" s="1"/>
      <c r="J301" s="1"/>
      <c r="K301" s="1"/>
    </row>
    <row r="302" spans="1:11" x14ac:dyDescent="0.45">
      <c r="A302" s="2">
        <f t="shared" si="22"/>
        <v>300</v>
      </c>
      <c r="B302" s="2">
        <f t="shared" si="21"/>
        <v>40.000000000000313</v>
      </c>
      <c r="C302" s="2">
        <v>80</v>
      </c>
      <c r="D302" s="2">
        <v>0</v>
      </c>
      <c r="E302" s="7">
        <f t="shared" si="23"/>
        <v>0.14956727432624461</v>
      </c>
      <c r="F302" s="7">
        <f t="shared" si="25"/>
        <v>-9.888390873697972E-4</v>
      </c>
      <c r="G302" s="2">
        <f t="shared" si="24"/>
        <v>0.19066744763221205</v>
      </c>
      <c r="H302" s="2">
        <f>(SystemConstants!$B$6*F302)+(0.5*SystemConstants!$B$7*SystemConstants!$B$5*Data!E302^2)+(0.5*SystemConstants!$B$7*SystemConstants!$B$2*SystemConstants!$B$3*Data!E302^2)</f>
        <v>12.794079580224968</v>
      </c>
      <c r="I302" s="1"/>
      <c r="J302" s="1"/>
      <c r="K302" s="1"/>
    </row>
    <row r="303" spans="1:11" x14ac:dyDescent="0.45">
      <c r="A303" s="2">
        <f t="shared" si="22"/>
        <v>301</v>
      </c>
      <c r="B303" s="2">
        <f t="shared" si="21"/>
        <v>39.666666666666977</v>
      </c>
      <c r="C303" s="2">
        <v>80</v>
      </c>
      <c r="D303" s="2">
        <v>0</v>
      </c>
      <c r="E303" s="7">
        <f t="shared" si="23"/>
        <v>0.14857346633628765</v>
      </c>
      <c r="F303" s="7">
        <f t="shared" si="25"/>
        <v>-9.9380798995696296E-4</v>
      </c>
      <c r="G303" s="2">
        <f t="shared" si="24"/>
        <v>0.19130406209992748</v>
      </c>
      <c r="H303" s="2">
        <f>(SystemConstants!$B$6*F303)+(0.5*SystemConstants!$B$7*SystemConstants!$B$5*Data!E303^2)+(0.5*SystemConstants!$B$7*SystemConstants!$B$2*SystemConstants!$B$3*Data!E303^2)</f>
        <v>12.624604441719532</v>
      </c>
      <c r="I303" s="1"/>
      <c r="J303" s="1"/>
      <c r="K303" s="1"/>
    </row>
    <row r="304" spans="1:11" x14ac:dyDescent="0.45">
      <c r="A304" s="2">
        <f t="shared" si="22"/>
        <v>302</v>
      </c>
      <c r="B304" s="2">
        <f t="shared" si="21"/>
        <v>39.333333333333641</v>
      </c>
      <c r="C304" s="2">
        <v>80</v>
      </c>
      <c r="D304" s="2">
        <v>0</v>
      </c>
      <c r="E304" s="7">
        <f t="shared" si="23"/>
        <v>0.14757468944506513</v>
      </c>
      <c r="F304" s="7">
        <f t="shared" si="25"/>
        <v>-9.9877689122251923E-4</v>
      </c>
      <c r="G304" s="2">
        <f t="shared" si="24"/>
        <v>0.19193958353453164</v>
      </c>
      <c r="H304" s="2">
        <f>(SystemConstants!$B$6*F304)+(0.5*SystemConstants!$B$7*SystemConstants!$B$5*Data!E304^2)+(0.5*SystemConstants!$B$7*SystemConstants!$B$2*SystemConstants!$B$3*Data!E304^2)</f>
        <v>12.455420270864852</v>
      </c>
      <c r="I304" s="1"/>
      <c r="J304" s="1"/>
      <c r="K304" s="1"/>
    </row>
    <row r="305" spans="1:11" x14ac:dyDescent="0.45">
      <c r="A305" s="2">
        <f t="shared" si="22"/>
        <v>303</v>
      </c>
      <c r="B305" s="2">
        <f t="shared" si="21"/>
        <v>39.000000000000306</v>
      </c>
      <c r="C305" s="2">
        <v>80</v>
      </c>
      <c r="D305" s="2">
        <v>0</v>
      </c>
      <c r="E305" s="7">
        <f t="shared" si="23"/>
        <v>0.14657094421025363</v>
      </c>
      <c r="F305" s="7">
        <f t="shared" si="25"/>
        <v>-1.0037452348115039E-3</v>
      </c>
      <c r="G305" s="2">
        <f t="shared" si="24"/>
        <v>0.19257394761187596</v>
      </c>
      <c r="H305" s="2">
        <f>(SystemConstants!$B$6*F305)+(0.5*SystemConstants!$B$7*SystemConstants!$B$5*Data!E305^2)+(0.5*SystemConstants!$B$7*SystemConstants!$B$2*SystemConstants!$B$3*Data!E305^2)</f>
        <v>12.286544193090137</v>
      </c>
      <c r="I305" s="1"/>
      <c r="J305" s="1"/>
      <c r="K305" s="1"/>
    </row>
    <row r="306" spans="1:11" x14ac:dyDescent="0.45">
      <c r="A306" s="2">
        <f t="shared" si="22"/>
        <v>304</v>
      </c>
      <c r="B306" s="2">
        <f t="shared" si="21"/>
        <v>38.66666666666697</v>
      </c>
      <c r="C306" s="2">
        <v>80</v>
      </c>
      <c r="D306" s="2">
        <v>0</v>
      </c>
      <c r="E306" s="7">
        <f t="shared" si="23"/>
        <v>0.14556223175394223</v>
      </c>
      <c r="F306" s="7">
        <f t="shared" si="25"/>
        <v>-1.0087124563114003E-3</v>
      </c>
      <c r="G306" s="2">
        <f t="shared" si="24"/>
        <v>0.19320708933288552</v>
      </c>
      <c r="H306" s="2">
        <f>(SystemConstants!$B$6*F306)+(0.5*SystemConstants!$B$7*SystemConstants!$B$5*Data!E306^2)+(0.5*SystemConstants!$B$7*SystemConstants!$B$2*SystemConstants!$B$3*Data!E306^2)</f>
        <v>12.117993509971484</v>
      </c>
      <c r="I306" s="1"/>
      <c r="J306" s="1"/>
      <c r="K306" s="1"/>
    </row>
    <row r="307" spans="1:11" x14ac:dyDescent="0.45">
      <c r="A307" s="2">
        <f t="shared" si="22"/>
        <v>305</v>
      </c>
      <c r="B307" s="2">
        <f t="shared" si="21"/>
        <v>38.333333333333634</v>
      </c>
      <c r="C307" s="2">
        <v>80</v>
      </c>
      <c r="D307" s="2">
        <v>0</v>
      </c>
      <c r="E307" s="7">
        <f t="shared" si="23"/>
        <v>0.1445485537709601</v>
      </c>
      <c r="F307" s="7">
        <f t="shared" si="25"/>
        <v>-1.0136779829821307E-3</v>
      </c>
      <c r="G307" s="2">
        <f t="shared" si="24"/>
        <v>0.19383894305881214</v>
      </c>
      <c r="H307" s="2">
        <f>(SystemConstants!$B$6*F307)+(0.5*SystemConstants!$B$7*SystemConstants!$B$5*Data!E307^2)+(0.5*SystemConstants!$B$7*SystemConstants!$B$2*SystemConstants!$B$3*Data!E307^2)</f>
        <v>11.949785697305066</v>
      </c>
      <c r="I307" s="1"/>
      <c r="J307" s="1"/>
      <c r="K307" s="1"/>
    </row>
    <row r="308" spans="1:11" x14ac:dyDescent="0.45">
      <c r="A308" s="2">
        <f t="shared" si="22"/>
        <v>306</v>
      </c>
      <c r="B308" s="2">
        <f t="shared" si="21"/>
        <v>38.000000000000298</v>
      </c>
      <c r="C308" s="2">
        <v>80</v>
      </c>
      <c r="D308" s="2">
        <v>0</v>
      </c>
      <c r="E308" s="7">
        <f t="shared" si="23"/>
        <v>0.14352991253697667</v>
      </c>
      <c r="F308" s="7">
        <f t="shared" si="25"/>
        <v>-1.0186412339834305E-3</v>
      </c>
      <c r="G308" s="2">
        <f t="shared" si="24"/>
        <v>0.19446944249297818</v>
      </c>
      <c r="H308" s="2">
        <f>(SystemConstants!$B$6*F308)+(0.5*SystemConstants!$B$7*SystemConstants!$B$5*Data!E308^2)+(0.5*SystemConstants!$B$7*SystemConstants!$B$2*SystemConstants!$B$3*Data!E308^2)</f>
        <v>11.781938403036149</v>
      </c>
      <c r="I308" s="1"/>
      <c r="J308" s="1"/>
      <c r="K308" s="1"/>
    </row>
    <row r="309" spans="1:11" x14ac:dyDescent="0.45">
      <c r="A309" s="2">
        <f t="shared" si="22"/>
        <v>307</v>
      </c>
      <c r="B309" s="2">
        <f t="shared" si="21"/>
        <v>37.666666666666963</v>
      </c>
      <c r="C309" s="2">
        <v>80</v>
      </c>
      <c r="D309" s="2">
        <v>0</v>
      </c>
      <c r="E309" s="7">
        <f t="shared" si="23"/>
        <v>0.14250631091664445</v>
      </c>
      <c r="F309" s="7">
        <f t="shared" si="25"/>
        <v>-1.0236016203322151E-3</v>
      </c>
      <c r="G309" s="2">
        <f t="shared" si="24"/>
        <v>0.19509852070758216</v>
      </c>
      <c r="H309" s="2">
        <f>(SystemConstants!$B$6*F309)+(0.5*SystemConstants!$B$7*SystemConstants!$B$5*Data!E309^2)+(0.5*SystemConstants!$B$7*SystemConstants!$B$2*SystemConstants!$B$3*Data!E309^2)</f>
        <v>11.614469445089686</v>
      </c>
      <c r="I309" s="1"/>
      <c r="J309" s="1"/>
      <c r="K309" s="1"/>
    </row>
    <row r="310" spans="1:11" x14ac:dyDescent="0.45">
      <c r="A310" s="2">
        <f t="shared" si="22"/>
        <v>308</v>
      </c>
      <c r="B310" s="2">
        <f t="shared" si="21"/>
        <v>37.333333333333627</v>
      </c>
      <c r="C310" s="2">
        <v>80</v>
      </c>
      <c r="D310" s="2">
        <v>0</v>
      </c>
      <c r="E310" s="7">
        <f t="shared" si="23"/>
        <v>0.14147775237162818</v>
      </c>
      <c r="F310" s="7">
        <f t="shared" si="25"/>
        <v>-1.0285585450162671E-3</v>
      </c>
      <c r="G310" s="2">
        <f t="shared" si="24"/>
        <v>0.19572611013975483</v>
      </c>
      <c r="H310" s="2">
        <f>(SystemConstants!$B$6*F310)+(0.5*SystemConstants!$B$7*SystemConstants!$B$5*Data!E310^2)+(0.5*SystemConstants!$B$7*SystemConstants!$B$2*SystemConstants!$B$3*Data!E310^2)</f>
        <v>11.447396809075491</v>
      </c>
      <c r="I310" s="1"/>
      <c r="J310" s="1"/>
      <c r="K310" s="1"/>
    </row>
    <row r="311" spans="1:11" x14ac:dyDescent="0.45">
      <c r="A311" s="2">
        <f t="shared" si="22"/>
        <v>309</v>
      </c>
      <c r="B311" s="2">
        <f t="shared" si="21"/>
        <v>37.000000000000291</v>
      </c>
      <c r="C311" s="2">
        <v>80</v>
      </c>
      <c r="D311" s="2">
        <v>0</v>
      </c>
      <c r="E311" s="7">
        <f t="shared" si="23"/>
        <v>0.14044424096861974</v>
      </c>
      <c r="F311" s="7">
        <f t="shared" si="25"/>
        <v>-1.0335114030084469E-3</v>
      </c>
      <c r="G311" s="2">
        <f t="shared" si="24"/>
        <v>0.19635214261157133</v>
      </c>
      <c r="H311" s="2">
        <f>(SystemConstants!$B$6*F311)+(0.5*SystemConstants!$B$7*SystemConstants!$B$5*Data!E311^2)+(0.5*SystemConstants!$B$7*SystemConstants!$B$2*SystemConstants!$B$3*Data!E311^2)</f>
        <v>11.280738645884234</v>
      </c>
      <c r="I311" s="1"/>
      <c r="J311" s="1"/>
      <c r="K311" s="1"/>
    </row>
    <row r="312" spans="1:11" x14ac:dyDescent="0.45">
      <c r="A312" s="2">
        <f t="shared" si="22"/>
        <v>310</v>
      </c>
      <c r="B312" s="2">
        <f t="shared" ref="B312:B362" si="26">(B311-(60/180))</f>
        <v>36.666666666666956</v>
      </c>
      <c r="C312" s="2">
        <v>80</v>
      </c>
      <c r="D312" s="2">
        <v>0</v>
      </c>
      <c r="E312" s="7">
        <f t="shared" si="23"/>
        <v>0.13940578138733883</v>
      </c>
      <c r="F312" s="7">
        <f t="shared" si="25"/>
        <v>-1.0384595812809039E-3</v>
      </c>
      <c r="G312" s="2">
        <f t="shared" si="24"/>
        <v>0.19697654932534389</v>
      </c>
      <c r="H312" s="2">
        <f>(SystemConstants!$B$6*F312)+(0.5*SystemConstants!$B$7*SystemConstants!$B$5*Data!E312^2)+(0.5*SystemConstants!$B$7*SystemConstants!$B$2*SystemConstants!$B$3*Data!E312^2)</f>
        <v>11.114513269173468</v>
      </c>
      <c r="I312" s="1"/>
      <c r="J312" s="1"/>
      <c r="K312" s="1"/>
    </row>
    <row r="313" spans="1:11" x14ac:dyDescent="0.45">
      <c r="A313" s="2">
        <f t="shared" si="22"/>
        <v>311</v>
      </c>
      <c r="B313" s="2">
        <f t="shared" si="26"/>
        <v>36.33333333333362</v>
      </c>
      <c r="C313" s="2">
        <v>80</v>
      </c>
      <c r="D313" s="2">
        <v>0</v>
      </c>
      <c r="E313" s="7">
        <f t="shared" si="23"/>
        <v>0.13836237892822112</v>
      </c>
      <c r="F313" s="7">
        <f t="shared" si="25"/>
        <v>-1.0434024591177149E-3</v>
      </c>
      <c r="G313" s="2">
        <f t="shared" si="24"/>
        <v>0.19759926089002053</v>
      </c>
      <c r="H313" s="2">
        <f>(SystemConstants!$B$6*F313)+(0.5*SystemConstants!$B$7*SystemConstants!$B$5*Data!E313^2)+(0.5*SystemConstants!$B$7*SystemConstants!$B$2*SystemConstants!$B$3*Data!E313^2)</f>
        <v>10.948739152695332</v>
      </c>
      <c r="I313" s="1"/>
      <c r="J313" s="1"/>
      <c r="K313" s="1"/>
    </row>
    <row r="314" spans="1:11" x14ac:dyDescent="0.45">
      <c r="A314" s="2">
        <f t="shared" si="22"/>
        <v>312</v>
      </c>
      <c r="B314" s="2">
        <f t="shared" si="26"/>
        <v>36.000000000000284</v>
      </c>
      <c r="C314" s="2">
        <v>80</v>
      </c>
      <c r="D314" s="2">
        <v>0</v>
      </c>
      <c r="E314" s="7">
        <f t="shared" si="23"/>
        <v>0.1373140395204473</v>
      </c>
      <c r="F314" s="7">
        <f t="shared" si="25"/>
        <v>-1.048339407773824E-3</v>
      </c>
      <c r="G314" s="2">
        <f t="shared" si="24"/>
        <v>0.19822020731921289</v>
      </c>
      <c r="H314" s="2">
        <f>(SystemConstants!$B$6*F314)+(0.5*SystemConstants!$B$7*SystemConstants!$B$5*Data!E314^2)+(0.5*SystemConstants!$B$7*SystemConstants!$B$2*SystemConstants!$B$3*Data!E314^2)</f>
        <v>10.783434927571429</v>
      </c>
      <c r="I314" s="1"/>
      <c r="J314" s="1"/>
      <c r="K314" s="1"/>
    </row>
    <row r="315" spans="1:11" x14ac:dyDescent="0.45">
      <c r="A315" s="2">
        <f t="shared" si="22"/>
        <v>313</v>
      </c>
      <c r="B315" s="2">
        <f t="shared" si="26"/>
        <v>35.666666666666949</v>
      </c>
      <c r="C315" s="2">
        <v>80</v>
      </c>
      <c r="D315" s="2">
        <v>0</v>
      </c>
      <c r="E315" s="7">
        <f t="shared" si="23"/>
        <v>0.13626076972938961</v>
      </c>
      <c r="F315" s="7">
        <f t="shared" si="25"/>
        <v>-1.0532697910576871E-3</v>
      </c>
      <c r="G315" s="2">
        <f t="shared" si="24"/>
        <v>0.198839318049084</v>
      </c>
      <c r="H315" s="2">
        <f>(SystemConstants!$B$6*F315)+(0.5*SystemConstants!$B$7*SystemConstants!$B$5*Data!E315^2)+(0.5*SystemConstants!$B$7*SystemConstants!$B$2*SystemConstants!$B$3*Data!E315^2)</f>
        <v>10.618619379365651</v>
      </c>
      <c r="I315" s="1"/>
      <c r="J315" s="1"/>
      <c r="K315" s="1"/>
    </row>
    <row r="316" spans="1:11" x14ac:dyDescent="0.45">
      <c r="A316" s="2">
        <f t="shared" si="22"/>
        <v>314</v>
      </c>
      <c r="B316" s="2">
        <f t="shared" si="26"/>
        <v>35.333333333333613</v>
      </c>
      <c r="C316" s="2">
        <v>80</v>
      </c>
      <c r="D316" s="2">
        <v>0</v>
      </c>
      <c r="E316" s="7">
        <f t="shared" si="23"/>
        <v>0.13520257676445624</v>
      </c>
      <c r="F316" s="7">
        <f t="shared" si="25"/>
        <v>-1.0581929649333688E-3</v>
      </c>
      <c r="G316" s="2">
        <f t="shared" si="24"/>
        <v>0.19945652194094329</v>
      </c>
      <c r="H316" s="2">
        <f>(SystemConstants!$B$6*F316)+(0.5*SystemConstants!$B$7*SystemConstants!$B$5*Data!E316^2)+(0.5*SystemConstants!$B$7*SystemConstants!$B$2*SystemConstants!$B$3*Data!E316^2)</f>
        <v>10.454311445112584</v>
      </c>
      <c r="I316" s="1"/>
      <c r="J316" s="1"/>
      <c r="K316" s="1"/>
    </row>
    <row r="317" spans="1:11" x14ac:dyDescent="0.45">
      <c r="A317" s="2">
        <f t="shared" si="22"/>
        <v>315</v>
      </c>
      <c r="B317" s="2">
        <f t="shared" si="26"/>
        <v>35.000000000000277</v>
      </c>
      <c r="C317" s="2">
        <v>80</v>
      </c>
      <c r="D317" s="2">
        <v>0</v>
      </c>
      <c r="E317" s="7">
        <f t="shared" si="23"/>
        <v>0.13413946848649516</v>
      </c>
      <c r="F317" s="7">
        <f t="shared" si="25"/>
        <v>-1.0631082779610779E-3</v>
      </c>
      <c r="G317" s="2">
        <f t="shared" si="24"/>
        <v>0.20007174730723837</v>
      </c>
      <c r="H317" s="2">
        <f>(SystemConstants!$B$6*F317)+(0.5*SystemConstants!$B$7*SystemConstants!$B$5*Data!E317^2)+(0.5*SystemConstants!$B$7*SystemConstants!$B$2*SystemConstants!$B$3*Data!E317^2)</f>
        <v>10.290530210166988</v>
      </c>
      <c r="I317" s="1"/>
      <c r="J317" s="1"/>
      <c r="K317" s="1"/>
    </row>
    <row r="318" spans="1:11" x14ac:dyDescent="0.45">
      <c r="A318" s="2">
        <f t="shared" si="22"/>
        <v>316</v>
      </c>
      <c r="B318" s="2">
        <f t="shared" si="26"/>
        <v>34.666666666666941</v>
      </c>
      <c r="C318" s="2">
        <v>80</v>
      </c>
      <c r="D318" s="2">
        <v>0</v>
      </c>
      <c r="E318" s="7">
        <f t="shared" si="23"/>
        <v>0.1330714534152122</v>
      </c>
      <c r="F318" s="7">
        <f t="shared" si="25"/>
        <v>-1.0680150712829573E-3</v>
      </c>
      <c r="G318" s="2">
        <f t="shared" si="24"/>
        <v>0.20068492191113491</v>
      </c>
      <c r="H318" s="2">
        <f>(SystemConstants!$B$6*F318)+(0.5*SystemConstants!$B$7*SystemConstants!$B$5*Data!E318^2)+(0.5*SystemConstants!$B$7*SystemConstants!$B$2*SystemConstants!$B$3*Data!E318^2)</f>
        <v>10.127294904947886</v>
      </c>
      <c r="I318" s="1"/>
      <c r="J318" s="1"/>
      <c r="K318" s="1"/>
    </row>
    <row r="319" spans="1:11" x14ac:dyDescent="0.45">
      <c r="A319" s="2">
        <f t="shared" si="22"/>
        <v>317</v>
      </c>
      <c r="B319" s="2">
        <f t="shared" si="26"/>
        <v>34.333333333333606</v>
      </c>
      <c r="C319" s="2">
        <v>80</v>
      </c>
      <c r="D319" s="2">
        <v>0</v>
      </c>
      <c r="E319" s="7">
        <f t="shared" si="23"/>
        <v>0.13199854073664596</v>
      </c>
      <c r="F319" s="7">
        <f t="shared" si="25"/>
        <v>-1.0729126785662402E-3</v>
      </c>
      <c r="G319" s="2">
        <f t="shared" si="24"/>
        <v>0.20129597298406082</v>
      </c>
      <c r="H319" s="2">
        <f>(SystemConstants!$B$6*F319)+(0.5*SystemConstants!$B$7*SystemConstants!$B$5*Data!E319^2)+(0.5*SystemConstants!$B$7*SystemConstants!$B$2*SystemConstants!$B$3*Data!E319^2)</f>
        <v>9.9646249015824324</v>
      </c>
      <c r="I319" s="1"/>
      <c r="J319" s="1"/>
      <c r="K319" s="1"/>
    </row>
    <row r="320" spans="1:11" x14ac:dyDescent="0.45">
      <c r="A320" s="2">
        <f t="shared" si="22"/>
        <v>318</v>
      </c>
      <c r="B320" s="2">
        <f t="shared" si="26"/>
        <v>34.00000000000027</v>
      </c>
      <c r="C320" s="2">
        <v>80</v>
      </c>
      <c r="D320" s="2">
        <v>0</v>
      </c>
      <c r="E320" s="7">
        <f t="shared" si="23"/>
        <v>0.13092074031011691</v>
      </c>
      <c r="F320" s="7">
        <f t="shared" si="25"/>
        <v>-1.0778004265290519E-3</v>
      </c>
      <c r="G320" s="2">
        <f t="shared" si="24"/>
        <v>0.2019048272352478</v>
      </c>
      <c r="H320" s="2">
        <f>(SystemConstants!$B$6*F320)+(0.5*SystemConstants!$B$7*SystemConstants!$B$5*Data!E320^2)+(0.5*SystemConstants!$B$7*SystemConstants!$B$2*SystemConstants!$B$3*Data!E320^2)</f>
        <v>9.8025397103606231</v>
      </c>
      <c r="I320" s="1"/>
      <c r="J320" s="1"/>
      <c r="K320" s="1"/>
    </row>
    <row r="321" spans="1:11" x14ac:dyDescent="0.45">
      <c r="A321" s="2">
        <f t="shared" si="22"/>
        <v>319</v>
      </c>
      <c r="B321" s="2">
        <f t="shared" si="26"/>
        <v>33.666666666666934</v>
      </c>
      <c r="C321" s="2">
        <v>80</v>
      </c>
      <c r="D321" s="2">
        <v>0</v>
      </c>
      <c r="E321" s="7">
        <f t="shared" si="23"/>
        <v>0.12983806267563125</v>
      </c>
      <c r="F321" s="7">
        <f t="shared" si="25"/>
        <v>-1.0826776344856626E-3</v>
      </c>
      <c r="G321" s="2">
        <f t="shared" si="24"/>
        <v>0.20251141087338459</v>
      </c>
      <c r="H321" s="2">
        <f>(SystemConstants!$B$6*F321)+(0.5*SystemConstants!$B$7*SystemConstants!$B$5*Data!E321^2)+(0.5*SystemConstants!$B$7*SystemConstants!$B$2*SystemConstants!$B$3*Data!E321^2)</f>
        <v>9.6410589761519141</v>
      </c>
      <c r="I321" s="1"/>
      <c r="J321" s="1"/>
      <c r="K321" s="1"/>
    </row>
    <row r="322" spans="1:11" x14ac:dyDescent="0.45">
      <c r="A322" s="2">
        <f t="shared" si="22"/>
        <v>320</v>
      </c>
      <c r="B322" s="2">
        <f t="shared" si="26"/>
        <v>33.333333333333599</v>
      </c>
      <c r="C322" s="2">
        <v>80</v>
      </c>
      <c r="D322" s="2">
        <v>0</v>
      </c>
      <c r="E322" s="7">
        <f t="shared" si="23"/>
        <v>0.12875051906063106</v>
      </c>
      <c r="F322" s="7">
        <f t="shared" si="25"/>
        <v>-1.087543615000186E-3</v>
      </c>
      <c r="G322" s="2">
        <f t="shared" si="24"/>
        <v>0.20311564961501358</v>
      </c>
      <c r="H322" s="2">
        <f>(SystemConstants!$B$6*F322)+(0.5*SystemConstants!$B$7*SystemConstants!$B$5*Data!E322^2)+(0.5*SystemConstants!$B$7*SystemConstants!$B$2*SystemConstants!$B$3*Data!E322^2)</f>
        <v>9.4802024746139182</v>
      </c>
      <c r="I322" s="1"/>
      <c r="J322" s="1"/>
      <c r="K322" s="1"/>
    </row>
    <row r="323" spans="1:11" x14ac:dyDescent="0.45">
      <c r="A323" s="2">
        <f t="shared" ref="A323:A386" si="27">A322+1</f>
        <v>321</v>
      </c>
      <c r="B323" s="2">
        <f t="shared" si="26"/>
        <v>33.000000000000263</v>
      </c>
      <c r="C323" s="2">
        <v>80</v>
      </c>
      <c r="D323" s="2">
        <v>0</v>
      </c>
      <c r="E323" s="7">
        <f t="shared" si="23"/>
        <v>0.12765812138692922</v>
      </c>
      <c r="F323" s="7">
        <f t="shared" si="25"/>
        <v>-1.0923976737018393E-3</v>
      </c>
      <c r="G323" s="2">
        <f t="shared" si="24"/>
        <v>0.20371746869767296</v>
      </c>
      <c r="H323" s="2">
        <f>(SystemConstants!$B$6*F323)+(0.5*SystemConstants!$B$7*SystemConstants!$B$5*Data!E323^2)+(0.5*SystemConstants!$B$7*SystemConstants!$B$2*SystemConstants!$B$3*Data!E323^2)</f>
        <v>9.3199901083226919</v>
      </c>
      <c r="I323" s="1"/>
      <c r="J323" s="1"/>
      <c r="K323" s="1"/>
    </row>
    <row r="324" spans="1:11" x14ac:dyDescent="0.45">
      <c r="A324" s="2">
        <f t="shared" si="27"/>
        <v>322</v>
      </c>
      <c r="B324" s="2">
        <f t="shared" si="26"/>
        <v>32.666666666666927</v>
      </c>
      <c r="C324" s="2">
        <v>80</v>
      </c>
      <c r="D324" s="2">
        <v>0</v>
      </c>
      <c r="E324" s="7">
        <f t="shared" ref="E324:E387" si="28">ABS((SQRT(B324^2+C324^2+D324^2)-SQRT(B323^2+C323^2+D323^2))/(A324-A323))</f>
        <v>0.12656088227744533</v>
      </c>
      <c r="F324" s="7">
        <f t="shared" si="25"/>
        <v>-1.097239109483894E-3</v>
      </c>
      <c r="G324" s="2">
        <f t="shared" si="24"/>
        <v>0.20431679289619376</v>
      </c>
      <c r="H324" s="2">
        <f>(SystemConstants!$B$6*F324)+(0.5*SystemConstants!$B$7*SystemConstants!$B$5*Data!E324^2)+(0.5*SystemConstants!$B$7*SystemConstants!$B$2*SystemConstants!$B$3*Data!E324^2)</f>
        <v>9.1604419027657702</v>
      </c>
      <c r="I324" s="1"/>
      <c r="J324" s="1"/>
      <c r="K324" s="1"/>
    </row>
    <row r="325" spans="1:11" x14ac:dyDescent="0.45">
      <c r="A325" s="2">
        <f t="shared" si="27"/>
        <v>323</v>
      </c>
      <c r="B325" s="2">
        <f t="shared" si="26"/>
        <v>32.333333333333591</v>
      </c>
      <c r="C325" s="2">
        <v>80</v>
      </c>
      <c r="D325" s="2">
        <v>0</v>
      </c>
      <c r="E325" s="7">
        <f t="shared" si="28"/>
        <v>0.1254588150627427</v>
      </c>
      <c r="F325" s="7">
        <f t="shared" si="25"/>
        <v>-1.1020672147026289E-3</v>
      </c>
      <c r="G325" s="2">
        <f t="shared" ref="G325:G388" si="29">DEGREES(ACOS( (B324*B325+C324*C325+D324*D325) / SQRT((B324^2+C324^2+D324^2)*(B325^2+C325^2+D325^2))))</f>
        <v>0.20491354654708843</v>
      </c>
      <c r="H325" s="2">
        <f>(SystemConstants!$B$6*F325)+(0.5*SystemConstants!$B$7*SystemConstants!$B$5*Data!E325^2)+(0.5*SystemConstants!$B$7*SystemConstants!$B$2*SystemConstants!$B$3*Data!E325^2)</f>
        <v>9.0015780021995617</v>
      </c>
      <c r="I325" s="1"/>
      <c r="J325" s="1"/>
      <c r="K325" s="1"/>
    </row>
    <row r="326" spans="1:11" x14ac:dyDescent="0.45">
      <c r="A326" s="2">
        <f t="shared" si="27"/>
        <v>324</v>
      </c>
      <c r="B326" s="2">
        <f t="shared" si="26"/>
        <v>32.000000000000256</v>
      </c>
      <c r="C326" s="2">
        <v>80</v>
      </c>
      <c r="D326" s="2">
        <v>0</v>
      </c>
      <c r="E326" s="7">
        <f t="shared" si="28"/>
        <v>0.12435193378749432</v>
      </c>
      <c r="F326" s="7">
        <f t="shared" si="25"/>
        <v>-1.1068812752483836E-3</v>
      </c>
      <c r="G326" s="2">
        <f t="shared" si="29"/>
        <v>0.20550765354740588</v>
      </c>
      <c r="H326" s="2">
        <f>(SystemConstants!$B$6*F326)+(0.5*SystemConstants!$B$7*SystemConstants!$B$5*Data!E326^2)+(0.5*SystemConstants!$B$7*SystemConstants!$B$2*SystemConstants!$B$3*Data!E326^2)</f>
        <v>8.8434186653907876</v>
      </c>
      <c r="I326" s="1"/>
      <c r="J326" s="1"/>
      <c r="K326" s="1"/>
    </row>
    <row r="327" spans="1:11" x14ac:dyDescent="0.45">
      <c r="A327" s="2">
        <f t="shared" si="27"/>
        <v>325</v>
      </c>
      <c r="B327" s="2">
        <f t="shared" si="26"/>
        <v>31.666666666666924</v>
      </c>
      <c r="C327" s="2">
        <v>80</v>
      </c>
      <c r="D327" s="2">
        <v>0</v>
      </c>
      <c r="E327" s="7">
        <f t="shared" si="28"/>
        <v>0.12324025321669296</v>
      </c>
      <c r="F327" s="7">
        <f t="shared" si="25"/>
        <v>-1.1116805708013544E-3</v>
      </c>
      <c r="G327" s="2">
        <f t="shared" si="29"/>
        <v>0.20609903738507382</v>
      </c>
      <c r="H327" s="2">
        <f>(SystemConstants!$B$6*F327)+(0.5*SystemConstants!$B$7*SystemConstants!$B$5*Data!E327^2)+(0.5*SystemConstants!$B$7*SystemConstants!$B$2*SystemConstants!$B$3*Data!E327^2)</f>
        <v>8.6859842612158982</v>
      </c>
      <c r="I327" s="1"/>
      <c r="J327" s="1"/>
      <c r="K327" s="1"/>
    </row>
    <row r="328" spans="1:11" x14ac:dyDescent="0.45">
      <c r="A328" s="2">
        <f t="shared" si="27"/>
        <v>326</v>
      </c>
      <c r="B328" s="2">
        <f t="shared" si="26"/>
        <v>31.333333333333591</v>
      </c>
      <c r="C328" s="2">
        <v>80</v>
      </c>
      <c r="D328" s="2">
        <v>0</v>
      </c>
      <c r="E328" s="7">
        <f t="shared" si="28"/>
        <v>0.12212378884184716</v>
      </c>
      <c r="F328" s="7">
        <f t="shared" si="25"/>
        <v>-1.1164643748458047E-3</v>
      </c>
      <c r="G328" s="2">
        <f t="shared" si="29"/>
        <v>0.20668762114893671</v>
      </c>
      <c r="H328" s="2">
        <f>(SystemConstants!$B$6*F328)+(0.5*SystemConstants!$B$7*SystemConstants!$B$5*Data!E328^2)+(0.5*SystemConstants!$B$7*SystemConstants!$B$2*SystemConstants!$B$3*Data!E328^2)</f>
        <v>8.5292952641544932</v>
      </c>
      <c r="I328" s="1"/>
      <c r="J328" s="1"/>
      <c r="K328" s="1"/>
    </row>
    <row r="329" spans="1:11" x14ac:dyDescent="0.45">
      <c r="A329" s="2">
        <f t="shared" si="27"/>
        <v>327</v>
      </c>
      <c r="B329" s="2">
        <f t="shared" si="26"/>
        <v>31.000000000000259</v>
      </c>
      <c r="C329" s="2">
        <v>80</v>
      </c>
      <c r="D329" s="2">
        <v>0</v>
      </c>
      <c r="E329" s="7">
        <f t="shared" si="28"/>
        <v>0.12100255688693551</v>
      </c>
      <c r="F329" s="7">
        <f t="shared" ref="F329:F392" si="30">(E329-E328)/(A329-A328)</f>
        <v>-1.1212319549116501E-3</v>
      </c>
      <c r="G329" s="2">
        <f t="shared" si="29"/>
        <v>0.20727332755409847</v>
      </c>
      <c r="H329" s="2">
        <f>(SystemConstants!$B$6*F329)+(0.5*SystemConstants!$B$7*SystemConstants!$B$5*Data!E329^2)+(0.5*SystemConstants!$B$7*SystemConstants!$B$2*SystemConstants!$B$3*Data!E329^2)</f>
        <v>8.3733722496447349</v>
      </c>
      <c r="I329" s="1"/>
      <c r="J329" s="1"/>
      <c r="K329" s="1"/>
    </row>
    <row r="330" spans="1:11" x14ac:dyDescent="0.45">
      <c r="A330" s="2">
        <f t="shared" si="27"/>
        <v>328</v>
      </c>
      <c r="B330" s="2">
        <f t="shared" si="26"/>
        <v>30.666666666666927</v>
      </c>
      <c r="C330" s="2">
        <v>80</v>
      </c>
      <c r="D330" s="2">
        <v>0</v>
      </c>
      <c r="E330" s="7">
        <f t="shared" si="28"/>
        <v>0.11987657431407683</v>
      </c>
      <c r="F330" s="7">
        <f t="shared" si="30"/>
        <v>-1.1259825728586748E-3</v>
      </c>
      <c r="G330" s="2">
        <f t="shared" si="29"/>
        <v>0.20785607894716379</v>
      </c>
      <c r="H330" s="2">
        <f>(SystemConstants!$B$6*F330)+(0.5*SystemConstants!$B$7*SystemConstants!$B$5*Data!E330^2)+(0.5*SystemConstants!$B$7*SystemConstants!$B$2*SystemConstants!$B$3*Data!E330^2)</f>
        <v>8.2182358892969543</v>
      </c>
      <c r="I330" s="1"/>
      <c r="J330" s="1"/>
      <c r="K330" s="1"/>
    </row>
    <row r="331" spans="1:11" x14ac:dyDescent="0.45">
      <c r="A331" s="2">
        <f t="shared" si="27"/>
        <v>329</v>
      </c>
      <c r="B331" s="2">
        <f t="shared" si="26"/>
        <v>30.333333333333595</v>
      </c>
      <c r="C331" s="2">
        <v>80</v>
      </c>
      <c r="D331" s="2">
        <v>0</v>
      </c>
      <c r="E331" s="7">
        <f t="shared" si="28"/>
        <v>0.1187458588293282</v>
      </c>
      <c r="F331" s="7">
        <f t="shared" si="30"/>
        <v>-1.1307154847486345E-3</v>
      </c>
      <c r="G331" s="2">
        <f t="shared" si="29"/>
        <v>0.20843579733378206</v>
      </c>
      <c r="H331" s="2">
        <f>(SystemConstants!$B$6*F331)+(0.5*SystemConstants!$B$7*SystemConstants!$B$5*Data!E331^2)+(0.5*SystemConstants!$B$7*SystemConstants!$B$2*SystemConstants!$B$3*Data!E331^2)</f>
        <v>8.0639069460242645</v>
      </c>
      <c r="I331" s="1"/>
      <c r="J331" s="1"/>
      <c r="K331" s="1"/>
    </row>
    <row r="332" spans="1:11" x14ac:dyDescent="0.45">
      <c r="A332" s="2">
        <f t="shared" si="27"/>
        <v>330</v>
      </c>
      <c r="B332" s="2">
        <f t="shared" si="26"/>
        <v>30.000000000000263</v>
      </c>
      <c r="C332" s="2">
        <v>80</v>
      </c>
      <c r="D332" s="2">
        <v>0</v>
      </c>
      <c r="E332" s="7">
        <f t="shared" si="28"/>
        <v>0.11761042888787188</v>
      </c>
      <c r="F332" s="7">
        <f t="shared" si="30"/>
        <v>-1.1354299414563229E-3</v>
      </c>
      <c r="G332" s="2">
        <f t="shared" si="29"/>
        <v>0.20901240440189064</v>
      </c>
      <c r="H332" s="2">
        <f>(SystemConstants!$B$6*F332)+(0.5*SystemConstants!$B$7*SystemConstants!$B$5*Data!E332^2)+(0.5*SystemConstants!$B$7*SystemConstants!$B$2*SystemConstants!$B$3*Data!E332^2)</f>
        <v>7.9104062689883357</v>
      </c>
      <c r="I332" s="1"/>
      <c r="J332" s="1"/>
      <c r="K332" s="1"/>
    </row>
    <row r="333" spans="1:11" x14ac:dyDescent="0.45">
      <c r="A333" s="2">
        <f t="shared" si="27"/>
        <v>331</v>
      </c>
      <c r="B333" s="2">
        <f t="shared" si="26"/>
        <v>29.666666666666931</v>
      </c>
      <c r="C333" s="2">
        <v>80</v>
      </c>
      <c r="D333" s="2">
        <v>0</v>
      </c>
      <c r="E333" s="7">
        <f t="shared" si="28"/>
        <v>0.11647030369948652</v>
      </c>
      <c r="F333" s="7">
        <f t="shared" si="30"/>
        <v>-1.1401251883853547E-3</v>
      </c>
      <c r="G333" s="2">
        <f t="shared" si="29"/>
        <v>0.2095858215284831</v>
      </c>
      <c r="H333" s="2">
        <f>(SystemConstants!$B$6*F333)+(0.5*SystemConstants!$B$7*SystemConstants!$B$5*Data!E333^2)+(0.5*SystemConstants!$B$7*SystemConstants!$B$2*SystemConstants!$B$3*Data!E333^2)</f>
        <v>7.7577547884866371</v>
      </c>
      <c r="I333" s="1"/>
      <c r="J333" s="1"/>
      <c r="K333" s="1"/>
    </row>
    <row r="334" spans="1:11" x14ac:dyDescent="0.45">
      <c r="A334" s="2">
        <f t="shared" si="27"/>
        <v>332</v>
      </c>
      <c r="B334" s="2">
        <f t="shared" si="26"/>
        <v>29.333333333333599</v>
      </c>
      <c r="C334" s="2">
        <v>80</v>
      </c>
      <c r="D334" s="2">
        <v>0</v>
      </c>
      <c r="E334" s="7">
        <f t="shared" si="28"/>
        <v>0.11532550323339308</v>
      </c>
      <c r="F334" s="7">
        <f t="shared" si="30"/>
        <v>-1.144800466093443E-3</v>
      </c>
      <c r="G334" s="2">
        <f t="shared" si="29"/>
        <v>0.21015596980513007</v>
      </c>
      <c r="H334" s="2">
        <f>(SystemConstants!$B$6*F334)+(0.5*SystemConstants!$B$7*SystemConstants!$B$5*Data!E334^2)+(0.5*SystemConstants!$B$7*SystemConstants!$B$2*SystemConstants!$B$3*Data!E334^2)</f>
        <v>7.6059735106567699</v>
      </c>
      <c r="I334" s="1"/>
      <c r="J334" s="1"/>
      <c r="K334" s="1"/>
    </row>
    <row r="335" spans="1:11" x14ac:dyDescent="0.45">
      <c r="A335" s="2">
        <f t="shared" si="27"/>
        <v>333</v>
      </c>
      <c r="B335" s="2">
        <f t="shared" si="26"/>
        <v>29.000000000000266</v>
      </c>
      <c r="C335" s="2">
        <v>80</v>
      </c>
      <c r="D335" s="2">
        <v>0</v>
      </c>
      <c r="E335" s="7">
        <f t="shared" si="28"/>
        <v>0.11417604822320016</v>
      </c>
      <c r="F335" s="7">
        <f t="shared" si="30"/>
        <v>-1.1494550101929235E-3</v>
      </c>
      <c r="G335" s="2">
        <f t="shared" si="29"/>
        <v>0.21072277006253309</v>
      </c>
      <c r="H335" s="2">
        <f>(SystemConstants!$B$6*F335)+(0.5*SystemConstants!$B$7*SystemConstants!$B$5*Data!E335^2)+(0.5*SystemConstants!$B$7*SystemConstants!$B$2*SystemConstants!$B$3*Data!E335^2)</f>
        <v>7.4550835120998853</v>
      </c>
      <c r="I335" s="1"/>
      <c r="J335" s="1"/>
      <c r="K335" s="1"/>
    </row>
    <row r="336" spans="1:11" x14ac:dyDescent="0.45">
      <c r="A336" s="2">
        <f t="shared" si="27"/>
        <v>334</v>
      </c>
      <c r="B336" s="2">
        <f t="shared" si="26"/>
        <v>28.666666666666934</v>
      </c>
      <c r="C336" s="2">
        <v>80</v>
      </c>
      <c r="D336" s="2">
        <v>0</v>
      </c>
      <c r="E336" s="7">
        <f t="shared" si="28"/>
        <v>0.11302196017152255</v>
      </c>
      <c r="F336" s="7">
        <f t="shared" si="30"/>
        <v>-1.1540880516776042E-3</v>
      </c>
      <c r="G336" s="2">
        <f t="shared" si="29"/>
        <v>0.21128614288588035</v>
      </c>
      <c r="H336" s="2">
        <f>(SystemConstants!$B$6*F336)+(0.5*SystemConstants!$B$7*SystemConstants!$B$5*Data!E336^2)+(0.5*SystemConstants!$B$7*SystemConstants!$B$2*SystemConstants!$B$3*Data!E336^2)</f>
        <v>7.3051059343660549</v>
      </c>
      <c r="I336" s="1"/>
      <c r="J336" s="1"/>
      <c r="K336" s="1"/>
    </row>
    <row r="337" spans="1:11" x14ac:dyDescent="0.45">
      <c r="A337" s="2">
        <f t="shared" si="27"/>
        <v>335</v>
      </c>
      <c r="B337" s="2">
        <f t="shared" si="26"/>
        <v>28.333333333333602</v>
      </c>
      <c r="C337" s="2">
        <v>80</v>
      </c>
      <c r="D337" s="2">
        <v>0</v>
      </c>
      <c r="E337" s="7">
        <f t="shared" si="28"/>
        <v>0.11186326135428715</v>
      </c>
      <c r="F337" s="7">
        <f t="shared" si="30"/>
        <v>-1.158698817235404E-3</v>
      </c>
      <c r="G337" s="2">
        <f t="shared" si="29"/>
        <v>0.21184600863634714</v>
      </c>
      <c r="H337" s="2">
        <f>(SystemConstants!$B$6*F337)+(0.5*SystemConstants!$B$7*SystemConstants!$B$5*Data!E337^2)+(0.5*SystemConstants!$B$7*SystemConstants!$B$2*SystemConstants!$B$3*Data!E337^2)</f>
        <v>7.1560619783069752</v>
      </c>
      <c r="I337" s="1"/>
      <c r="J337" s="1"/>
      <c r="K337" s="1"/>
    </row>
    <row r="338" spans="1:11" x14ac:dyDescent="0.45">
      <c r="A338" s="2">
        <f t="shared" si="27"/>
        <v>336</v>
      </c>
      <c r="B338" s="2">
        <f t="shared" si="26"/>
        <v>28.00000000000027</v>
      </c>
      <c r="C338" s="2">
        <v>80</v>
      </c>
      <c r="D338" s="2">
        <v>0</v>
      </c>
      <c r="E338" s="7">
        <f t="shared" si="28"/>
        <v>0.11069997482506722</v>
      </c>
      <c r="F338" s="7">
        <f t="shared" si="30"/>
        <v>-1.1632865292199313E-3</v>
      </c>
      <c r="G338" s="2">
        <f t="shared" si="29"/>
        <v>0.21240228747538273</v>
      </c>
      <c r="H338" s="2">
        <f>(SystemConstants!$B$6*F338)+(0.5*SystemConstants!$B$7*SystemConstants!$B$5*Data!E338^2)+(0.5*SystemConstants!$B$7*SystemConstants!$B$2*SystemConstants!$B$3*Data!E338^2)</f>
        <v>7.0079728983425955</v>
      </c>
      <c r="I338" s="1"/>
      <c r="J338" s="1"/>
      <c r="K338" s="1"/>
    </row>
    <row r="339" spans="1:11" x14ac:dyDescent="0.45">
      <c r="A339" s="2">
        <f t="shared" si="27"/>
        <v>337</v>
      </c>
      <c r="B339" s="2">
        <f t="shared" si="26"/>
        <v>27.666666666666938</v>
      </c>
      <c r="C339" s="2">
        <v>80</v>
      </c>
      <c r="D339" s="2">
        <v>0</v>
      </c>
      <c r="E339" s="7">
        <f t="shared" si="28"/>
        <v>0.10953212441896198</v>
      </c>
      <c r="F339" s="7">
        <f t="shared" si="30"/>
        <v>-1.1678504061052308E-3</v>
      </c>
      <c r="G339" s="2">
        <f t="shared" si="29"/>
        <v>0.21295489938145262</v>
      </c>
      <c r="H339" s="2">
        <f>(SystemConstants!$B$6*F339)+(0.5*SystemConstants!$B$7*SystemConstants!$B$5*Data!E339^2)+(0.5*SystemConstants!$B$7*SystemConstants!$B$2*SystemConstants!$B$3*Data!E339^2)</f>
        <v>6.8608599965802188</v>
      </c>
      <c r="I339" s="1"/>
      <c r="J339" s="1"/>
      <c r="K339" s="1"/>
    </row>
    <row r="340" spans="1:11" x14ac:dyDescent="0.45">
      <c r="A340" s="2">
        <f t="shared" si="27"/>
        <v>338</v>
      </c>
      <c r="B340" s="2">
        <f t="shared" si="26"/>
        <v>27.333333333333606</v>
      </c>
      <c r="C340" s="2">
        <v>80</v>
      </c>
      <c r="D340" s="2">
        <v>0</v>
      </c>
      <c r="E340" s="7">
        <f t="shared" si="28"/>
        <v>0.10835973475633409</v>
      </c>
      <c r="F340" s="7">
        <f t="shared" si="30"/>
        <v>-1.1723896626278929E-3</v>
      </c>
      <c r="G340" s="2">
        <f t="shared" si="29"/>
        <v>0.21350376418320552</v>
      </c>
      <c r="H340" s="2">
        <f>(SystemConstants!$B$6*F340)+(0.5*SystemConstants!$B$7*SystemConstants!$B$5*Data!E340^2)+(0.5*SystemConstants!$B$7*SystemConstants!$B$2*SystemConstants!$B$3*Data!E340^2)</f>
        <v>6.7147446168301776</v>
      </c>
      <c r="I340" s="1"/>
      <c r="J340" s="1"/>
      <c r="K340" s="1"/>
    </row>
    <row r="341" spans="1:11" x14ac:dyDescent="0.45">
      <c r="A341" s="2">
        <f t="shared" si="27"/>
        <v>339</v>
      </c>
      <c r="B341" s="2">
        <f t="shared" si="26"/>
        <v>27.000000000000274</v>
      </c>
      <c r="C341" s="2">
        <v>80</v>
      </c>
      <c r="D341" s="2">
        <v>0</v>
      </c>
      <c r="E341" s="7">
        <f t="shared" si="28"/>
        <v>0.10718283124629124</v>
      </c>
      <c r="F341" s="7">
        <f t="shared" si="30"/>
        <v>-1.1769035100428482E-3</v>
      </c>
      <c r="G341" s="2">
        <f t="shared" si="29"/>
        <v>0.21404880157303519</v>
      </c>
      <c r="H341" s="2">
        <f>(SystemConstants!$B$6*F341)+(0.5*SystemConstants!$B$7*SystemConstants!$B$5*Data!E341^2)+(0.5*SystemConstants!$B$7*SystemConstants!$B$2*SystemConstants!$B$3*Data!E341^2)</f>
        <v>6.5696481385053493</v>
      </c>
      <c r="I341" s="1"/>
      <c r="J341" s="1"/>
      <c r="K341" s="1"/>
    </row>
    <row r="342" spans="1:11" x14ac:dyDescent="0.45">
      <c r="A342" s="2">
        <f t="shared" si="27"/>
        <v>340</v>
      </c>
      <c r="B342" s="2">
        <f t="shared" si="26"/>
        <v>26.666666666666941</v>
      </c>
      <c r="C342" s="2">
        <v>80</v>
      </c>
      <c r="D342" s="2">
        <v>0</v>
      </c>
      <c r="E342" s="7">
        <f t="shared" si="28"/>
        <v>0.10600144008999735</v>
      </c>
      <c r="F342" s="7">
        <f t="shared" si="30"/>
        <v>-1.1813911562938983E-3</v>
      </c>
      <c r="G342" s="2">
        <f t="shared" si="29"/>
        <v>0.21458993112864452</v>
      </c>
      <c r="H342" s="2">
        <f>(SystemConstants!$B$6*F342)+(0.5*SystemConstants!$B$7*SystemConstants!$B$5*Data!E342^2)+(0.5*SystemConstants!$B$7*SystemConstants!$B$2*SystemConstants!$B$3*Data!E342^2)</f>
        <v>6.4255919704178517</v>
      </c>
      <c r="I342" s="1"/>
      <c r="J342" s="1"/>
      <c r="K342" s="1"/>
    </row>
    <row r="343" spans="1:11" x14ac:dyDescent="0.45">
      <c r="A343" s="2">
        <f t="shared" si="27"/>
        <v>341</v>
      </c>
      <c r="B343" s="2">
        <f t="shared" si="26"/>
        <v>26.333333333333609</v>
      </c>
      <c r="C343" s="2">
        <v>80</v>
      </c>
      <c r="D343" s="2">
        <v>0</v>
      </c>
      <c r="E343" s="7">
        <f t="shared" si="28"/>
        <v>0.1048155882835573</v>
      </c>
      <c r="F343" s="7">
        <f t="shared" si="30"/>
        <v>-1.1858518064400414E-3</v>
      </c>
      <c r="G343" s="2">
        <f t="shared" si="29"/>
        <v>0.21512707234748474</v>
      </c>
      <c r="H343" s="2">
        <f>(SystemConstants!$B$6*F343)+(0.5*SystemConstants!$B$7*SystemConstants!$B$5*Data!E343^2)+(0.5*SystemConstants!$B$7*SystemConstants!$B$2*SystemConstants!$B$3*Data!E343^2)</f>
        <v>6.2825975444439344</v>
      </c>
      <c r="I343" s="1"/>
      <c r="J343" s="1"/>
      <c r="K343" s="1"/>
    </row>
    <row r="344" spans="1:11" x14ac:dyDescent="0.45">
      <c r="A344" s="2">
        <f t="shared" si="27"/>
        <v>342</v>
      </c>
      <c r="B344" s="2">
        <f t="shared" si="26"/>
        <v>26.000000000000277</v>
      </c>
      <c r="C344" s="2">
        <v>80</v>
      </c>
      <c r="D344" s="2">
        <v>0</v>
      </c>
      <c r="E344" s="7">
        <f t="shared" si="28"/>
        <v>0.1036253036208592</v>
      </c>
      <c r="F344" s="7">
        <f t="shared" si="30"/>
        <v>-1.1902846626981045E-3</v>
      </c>
      <c r="G344" s="2">
        <f t="shared" si="29"/>
        <v>0.21566014466001179</v>
      </c>
      <c r="H344" s="2">
        <f>(SystemConstants!$B$6*F344)+(0.5*SystemConstants!$B$7*SystemConstants!$B$5*Data!E344^2)+(0.5*SystemConstants!$B$7*SystemConstants!$B$2*SystemConstants!$B$3*Data!E344^2)</f>
        <v>6.1406863091077595</v>
      </c>
      <c r="I344" s="1"/>
      <c r="J344" s="1"/>
      <c r="K344" s="1"/>
    </row>
    <row r="345" spans="1:11" x14ac:dyDescent="0.45">
      <c r="A345" s="2">
        <f t="shared" si="27"/>
        <v>343</v>
      </c>
      <c r="B345" s="2">
        <f t="shared" si="26"/>
        <v>25.666666666666945</v>
      </c>
      <c r="C345" s="2">
        <v>80</v>
      </c>
      <c r="D345" s="2">
        <v>0</v>
      </c>
      <c r="E345" s="7">
        <f t="shared" si="28"/>
        <v>0.10243061469597592</v>
      </c>
      <c r="F345" s="7">
        <f t="shared" si="30"/>
        <v>-1.1946889248832804E-3</v>
      </c>
      <c r="G345" s="2">
        <f t="shared" si="29"/>
        <v>0.21618906746278968</v>
      </c>
      <c r="H345" s="2">
        <f>(SystemConstants!$B$6*F345)+(0.5*SystemConstants!$B$7*SystemConstants!$B$5*Data!E345^2)+(0.5*SystemConstants!$B$7*SystemConstants!$B$2*SystemConstants!$B$3*Data!E345^2)</f>
        <v>5.9998797230375853</v>
      </c>
      <c r="I345" s="1"/>
      <c r="J345" s="1"/>
      <c r="K345" s="1"/>
    </row>
    <row r="346" spans="1:11" x14ac:dyDescent="0.45">
      <c r="A346" s="2">
        <f t="shared" si="27"/>
        <v>344</v>
      </c>
      <c r="B346" s="2">
        <f t="shared" si="26"/>
        <v>25.333333333333613</v>
      </c>
      <c r="C346" s="2">
        <v>80</v>
      </c>
      <c r="D346" s="2">
        <v>0</v>
      </c>
      <c r="E346" s="7">
        <f t="shared" si="28"/>
        <v>0.10123155090538205</v>
      </c>
      <c r="F346" s="7">
        <f t="shared" si="30"/>
        <v>-1.1990637905938684E-3</v>
      </c>
      <c r="G346" s="2">
        <f t="shared" si="29"/>
        <v>0.21671376013046198</v>
      </c>
      <c r="H346" s="2">
        <f>(SystemConstants!$B$6*F346)+(0.5*SystemConstants!$B$7*SystemConstants!$B$5*Data!E346^2)+(0.5*SystemConstants!$B$7*SystemConstants!$B$2*SystemConstants!$B$3*Data!E346^2)</f>
        <v>5.8601992483294749</v>
      </c>
      <c r="I346" s="1"/>
      <c r="J346" s="1"/>
      <c r="K346" s="1"/>
    </row>
    <row r="347" spans="1:11" x14ac:dyDescent="0.45">
      <c r="A347" s="2">
        <f t="shared" si="27"/>
        <v>345</v>
      </c>
      <c r="B347" s="2">
        <f t="shared" si="26"/>
        <v>25.000000000000281</v>
      </c>
      <c r="C347" s="2">
        <v>80</v>
      </c>
      <c r="D347" s="2">
        <v>0</v>
      </c>
      <c r="E347" s="7">
        <f t="shared" si="28"/>
        <v>0.10002814244995761</v>
      </c>
      <c r="F347" s="7">
        <f t="shared" si="30"/>
        <v>-1.2034084554244373E-3</v>
      </c>
      <c r="G347" s="2">
        <f t="shared" si="29"/>
        <v>0.21723414206090311</v>
      </c>
      <c r="H347" s="2">
        <f>(SystemConstants!$B$6*F347)+(0.5*SystemConstants!$B$7*SystemConstants!$B$5*Data!E347^2)+(0.5*SystemConstants!$B$7*SystemConstants!$B$2*SystemConstants!$B$3*Data!E347^2)</f>
        <v>5.7216663438174216</v>
      </c>
      <c r="I347" s="1"/>
      <c r="J347" s="1"/>
      <c r="K347" s="1"/>
    </row>
    <row r="348" spans="1:11" x14ac:dyDescent="0.45">
      <c r="A348" s="2">
        <f t="shared" si="27"/>
        <v>346</v>
      </c>
      <c r="B348" s="2">
        <f t="shared" si="26"/>
        <v>24.666666666666949</v>
      </c>
      <c r="C348" s="2">
        <v>80</v>
      </c>
      <c r="D348" s="2">
        <v>0</v>
      </c>
      <c r="E348" s="7">
        <f t="shared" si="28"/>
        <v>9.8820420336508619E-2</v>
      </c>
      <c r="F348" s="7">
        <f t="shared" si="30"/>
        <v>-1.2077221134489946E-3</v>
      </c>
      <c r="G348" s="2">
        <f t="shared" si="29"/>
        <v>0.21775013268422549</v>
      </c>
      <c r="H348" s="2">
        <f>(SystemConstants!$B$6*F348)+(0.5*SystemConstants!$B$7*SystemConstants!$B$5*Data!E348^2)+(0.5*SystemConstants!$B$7*SystemConstants!$B$2*SystemConstants!$B$3*Data!E348^2)</f>
        <v>5.5843024582218979</v>
      </c>
      <c r="I348" s="1"/>
      <c r="J348" s="1"/>
      <c r="K348" s="1"/>
    </row>
    <row r="349" spans="1:11" x14ac:dyDescent="0.45">
      <c r="A349" s="2">
        <f t="shared" si="27"/>
        <v>347</v>
      </c>
      <c r="B349" s="2">
        <f t="shared" si="26"/>
        <v>24.333333333333616</v>
      </c>
      <c r="C349" s="2">
        <v>80</v>
      </c>
      <c r="D349" s="2">
        <v>0</v>
      </c>
      <c r="E349" s="7">
        <f t="shared" si="28"/>
        <v>9.7608416379273422E-2</v>
      </c>
      <c r="F349" s="7">
        <f t="shared" si="30"/>
        <v>-1.212003957235197E-3</v>
      </c>
      <c r="G349" s="2">
        <f t="shared" si="29"/>
        <v>0.21826165149643004</v>
      </c>
      <c r="H349" s="2">
        <f>(SystemConstants!$B$6*F349)+(0.5*SystemConstants!$B$7*SystemConstants!$B$5*Data!E349^2)+(0.5*SystemConstants!$B$7*SystemConstants!$B$2*SystemConstants!$B$3*Data!E349^2)</f>
        <v>5.4481290232354</v>
      </c>
      <c r="I349" s="1"/>
      <c r="J349" s="1"/>
      <c r="K349" s="1"/>
    </row>
    <row r="350" spans="1:11" x14ac:dyDescent="0.45">
      <c r="A350" s="2">
        <f t="shared" si="27"/>
        <v>348</v>
      </c>
      <c r="B350" s="2">
        <f t="shared" si="26"/>
        <v>24.000000000000284</v>
      </c>
      <c r="C350" s="2">
        <v>80</v>
      </c>
      <c r="D350" s="2">
        <v>0</v>
      </c>
      <c r="E350" s="7">
        <f t="shared" si="28"/>
        <v>9.6392163200874847E-2</v>
      </c>
      <c r="F350" s="7">
        <f t="shared" si="30"/>
        <v>-1.2162531783985742E-3</v>
      </c>
      <c r="G350" s="2">
        <f t="shared" si="29"/>
        <v>0.21876861808397249</v>
      </c>
      <c r="H350" s="2">
        <f>(SystemConstants!$B$6*F350)+(0.5*SystemConstants!$B$7*SystemConstants!$B$5*Data!E350^2)+(0.5*SystemConstants!$B$7*SystemConstants!$B$2*SystemConstants!$B$3*Data!E350^2)</f>
        <v>5.3131674464853935</v>
      </c>
      <c r="I350" s="1"/>
      <c r="J350" s="1"/>
      <c r="K350" s="1"/>
    </row>
    <row r="351" spans="1:11" x14ac:dyDescent="0.45">
      <c r="A351" s="2">
        <f t="shared" si="27"/>
        <v>349</v>
      </c>
      <c r="B351" s="2">
        <f t="shared" si="26"/>
        <v>23.666666666666952</v>
      </c>
      <c r="C351" s="2">
        <v>80</v>
      </c>
      <c r="D351" s="2">
        <v>0</v>
      </c>
      <c r="E351" s="7">
        <f t="shared" si="28"/>
        <v>9.5171694233201265E-2</v>
      </c>
      <c r="F351" s="7">
        <f t="shared" si="30"/>
        <v>-1.2204689676735825E-3</v>
      </c>
      <c r="G351" s="2">
        <f t="shared" si="29"/>
        <v>0.21927095214774511</v>
      </c>
      <c r="H351" s="2">
        <f>(SystemConstants!$B$6*F351)+(0.5*SystemConstants!$B$7*SystemConstants!$B$5*Data!E351^2)+(0.5*SystemConstants!$B$7*SystemConstants!$B$2*SystemConstants!$B$3*Data!E351^2)</f>
        <v>5.1794391044345849</v>
      </c>
      <c r="I351" s="1"/>
      <c r="J351" s="1"/>
      <c r="K351" s="1"/>
    </row>
    <row r="352" spans="1:11" x14ac:dyDescent="0.45">
      <c r="A352" s="2">
        <f t="shared" si="27"/>
        <v>350</v>
      </c>
      <c r="B352" s="2">
        <f t="shared" si="26"/>
        <v>23.33333333333362</v>
      </c>
      <c r="C352" s="2">
        <v>80</v>
      </c>
      <c r="D352" s="2">
        <v>0</v>
      </c>
      <c r="E352" s="7">
        <f t="shared" si="28"/>
        <v>9.3947043717861334E-2</v>
      </c>
      <c r="F352" s="7">
        <f t="shared" si="30"/>
        <v>-1.2246505153399312E-3</v>
      </c>
      <c r="G352" s="2">
        <f t="shared" si="29"/>
        <v>0.21976857353631954</v>
      </c>
      <c r="H352" s="2">
        <f>(SystemConstants!$B$6*F352)+(0.5*SystemConstants!$B$7*SystemConstants!$B$5*Data!E352^2)+(0.5*SystemConstants!$B$7*SystemConstants!$B$2*SystemConstants!$B$3*Data!E352^2)</f>
        <v>5.0469653351811727</v>
      </c>
      <c r="I352" s="1"/>
      <c r="J352" s="1"/>
      <c r="K352" s="1"/>
    </row>
    <row r="353" spans="1:11" x14ac:dyDescent="0.45">
      <c r="A353" s="2">
        <f t="shared" si="27"/>
        <v>351</v>
      </c>
      <c r="B353" s="2">
        <f t="shared" si="26"/>
        <v>23.000000000000288</v>
      </c>
      <c r="C353" s="2">
        <v>80</v>
      </c>
      <c r="D353" s="2">
        <v>0</v>
      </c>
      <c r="E353" s="7">
        <f t="shared" si="28"/>
        <v>9.2718246706297691E-2</v>
      </c>
      <c r="F353" s="7">
        <f t="shared" si="30"/>
        <v>-1.2287970115636426E-3</v>
      </c>
      <c r="G353" s="2">
        <f t="shared" si="29"/>
        <v>0.22026140226374538</v>
      </c>
      <c r="H353" s="2">
        <f>(SystemConstants!$B$6*F353)+(0.5*SystemConstants!$B$7*SystemConstants!$B$5*Data!E353^2)+(0.5*SystemConstants!$B$7*SystemConstants!$B$2*SystemConstants!$B$3*Data!E353^2)</f>
        <v>4.9157674311737187</v>
      </c>
      <c r="I353" s="1"/>
      <c r="J353" s="1"/>
      <c r="K353" s="1"/>
    </row>
    <row r="354" spans="1:11" x14ac:dyDescent="0.45">
      <c r="A354" s="2">
        <f t="shared" si="27"/>
        <v>352</v>
      </c>
      <c r="B354" s="2">
        <f t="shared" si="26"/>
        <v>22.666666666666956</v>
      </c>
      <c r="C354" s="2">
        <v>80</v>
      </c>
      <c r="D354" s="2">
        <v>0</v>
      </c>
      <c r="E354" s="7">
        <f t="shared" si="28"/>
        <v>9.148533905975853E-2</v>
      </c>
      <c r="F354" s="7">
        <f t="shared" si="30"/>
        <v>-1.2329076465391609E-3</v>
      </c>
      <c r="G354" s="2">
        <f t="shared" si="29"/>
        <v>0.22074935854816205</v>
      </c>
      <c r="H354" s="2">
        <f>(SystemConstants!$B$6*F354)+(0.5*SystemConstants!$B$7*SystemConstants!$B$5*Data!E354^2)+(0.5*SystemConstants!$B$7*SystemConstants!$B$2*SystemConstants!$B$3*Data!E354^2)</f>
        <v>4.7858666318660372</v>
      </c>
      <c r="I354" s="1"/>
      <c r="J354" s="1"/>
      <c r="K354" s="1"/>
    </row>
    <row r="355" spans="1:11" x14ac:dyDescent="0.45">
      <c r="A355" s="2">
        <f t="shared" si="27"/>
        <v>353</v>
      </c>
      <c r="B355" s="2">
        <f t="shared" si="26"/>
        <v>22.333333333333623</v>
      </c>
      <c r="C355" s="2">
        <v>80</v>
      </c>
      <c r="D355" s="2">
        <v>0</v>
      </c>
      <c r="E355" s="7">
        <f t="shared" si="28"/>
        <v>9.0248357448757588E-2</v>
      </c>
      <c r="F355" s="7">
        <f t="shared" si="30"/>
        <v>-1.2369816110009424E-3</v>
      </c>
      <c r="G355" s="2">
        <f t="shared" si="29"/>
        <v>0.22123236284161971</v>
      </c>
      <c r="H355" s="2">
        <f>(SystemConstants!$B$6*F355)+(0.5*SystemConstants!$B$7*SystemConstants!$B$5*Data!E355^2)+(0.5*SystemConstants!$B$7*SystemConstants!$B$2*SystemConstants!$B$3*Data!E355^2)</f>
        <v>4.65728411627589</v>
      </c>
      <c r="I355" s="1"/>
      <c r="J355" s="1"/>
      <c r="K355" s="1"/>
    </row>
    <row r="356" spans="1:11" x14ac:dyDescent="0.45">
      <c r="A356" s="2">
        <f t="shared" si="27"/>
        <v>354</v>
      </c>
      <c r="B356" s="2">
        <f t="shared" si="26"/>
        <v>22.000000000000291</v>
      </c>
      <c r="C356" s="2">
        <v>80</v>
      </c>
      <c r="D356" s="2">
        <v>0</v>
      </c>
      <c r="E356" s="7">
        <f t="shared" si="28"/>
        <v>8.9007339352363601E-2</v>
      </c>
      <c r="F356" s="7">
        <f t="shared" si="30"/>
        <v>-1.2410180963939865E-3</v>
      </c>
      <c r="G356" s="2">
        <f t="shared" si="29"/>
        <v>0.22171033583445565</v>
      </c>
      <c r="H356" s="2">
        <f>(SystemConstants!$B$6*F356)+(0.5*SystemConstants!$B$7*SystemConstants!$B$5*Data!E356^2)+(0.5*SystemConstants!$B$7*SystemConstants!$B$2*SystemConstants!$B$3*Data!E356^2)</f>
        <v>4.5300409954892134</v>
      </c>
      <c r="I356" s="1"/>
      <c r="J356" s="1"/>
      <c r="K356" s="1"/>
    </row>
    <row r="357" spans="1:11" x14ac:dyDescent="0.45">
      <c r="A357" s="2">
        <f t="shared" si="27"/>
        <v>355</v>
      </c>
      <c r="B357" s="2">
        <f t="shared" si="26"/>
        <v>21.666666666666959</v>
      </c>
      <c r="C357" s="2">
        <v>80</v>
      </c>
      <c r="D357" s="2">
        <v>0</v>
      </c>
      <c r="E357" s="7">
        <f t="shared" si="28"/>
        <v>8.7762323057120284E-2</v>
      </c>
      <c r="F357" s="7">
        <f t="shared" si="30"/>
        <v>-1.2450162952433175E-3</v>
      </c>
      <c r="G357" s="2">
        <f t="shared" si="29"/>
        <v>0.22218319851202267</v>
      </c>
      <c r="H357" s="2">
        <f>(SystemConstants!$B$6*F357)+(0.5*SystemConstants!$B$7*SystemConstants!$B$5*Data!E357^2)+(0.5*SystemConstants!$B$7*SystemConstants!$B$2*SystemConstants!$B$3*Data!E357^2)</f>
        <v>4.404158305092265</v>
      </c>
      <c r="I357" s="1"/>
      <c r="J357" s="1"/>
      <c r="K357" s="1"/>
    </row>
    <row r="358" spans="1:11" x14ac:dyDescent="0.45">
      <c r="A358" s="2">
        <f t="shared" si="27"/>
        <v>356</v>
      </c>
      <c r="B358" s="2">
        <f t="shared" si="26"/>
        <v>21.333333333333627</v>
      </c>
      <c r="C358" s="2">
        <v>80</v>
      </c>
      <c r="D358" s="2">
        <v>0</v>
      </c>
      <c r="E358" s="7">
        <f t="shared" si="28"/>
        <v>8.6513347655582606E-2</v>
      </c>
      <c r="F358" s="7">
        <f t="shared" si="30"/>
        <v>-1.2489754015376775E-3</v>
      </c>
      <c r="G358" s="2">
        <f t="shared" si="29"/>
        <v>0.22265087217774185</v>
      </c>
      <c r="H358" s="2">
        <f>(SystemConstants!$B$6*F358)+(0.5*SystemConstants!$B$7*SystemConstants!$B$5*Data!E358^2)+(0.5*SystemConstants!$B$7*SystemConstants!$B$2*SystemConstants!$B$3*Data!E358^2)</f>
        <v>4.279656997535473</v>
      </c>
      <c r="I358" s="1"/>
      <c r="J358" s="1"/>
      <c r="K358" s="1"/>
    </row>
    <row r="359" spans="1:11" x14ac:dyDescent="0.45">
      <c r="A359" s="2">
        <f t="shared" si="27"/>
        <v>357</v>
      </c>
      <c r="B359" s="2">
        <f t="shared" si="26"/>
        <v>21.000000000000295</v>
      </c>
      <c r="C359" s="2">
        <v>80</v>
      </c>
      <c r="D359" s="2">
        <v>0</v>
      </c>
      <c r="E359" s="7">
        <f t="shared" si="28"/>
        <v>8.5260453044597284E-2</v>
      </c>
      <c r="F359" s="7">
        <f t="shared" si="30"/>
        <v>-1.2528946109853223E-3</v>
      </c>
      <c r="G359" s="2">
        <f t="shared" si="29"/>
        <v>0.22311327845439999</v>
      </c>
      <c r="H359" s="2">
        <f>(SystemConstants!$B$6*F359)+(0.5*SystemConstants!$B$7*SystemConstants!$B$5*Data!E359^2)+(0.5*SystemConstants!$B$7*SystemConstants!$B$2*SystemConstants!$B$3*Data!E359^2)</f>
        <v>4.1565579344467745</v>
      </c>
      <c r="I359" s="1"/>
      <c r="J359" s="1"/>
      <c r="K359" s="1"/>
    </row>
    <row r="360" spans="1:11" x14ac:dyDescent="0.45">
      <c r="A360" s="2">
        <f t="shared" si="27"/>
        <v>358</v>
      </c>
      <c r="B360" s="2">
        <f t="shared" si="26"/>
        <v>20.666666666666963</v>
      </c>
      <c r="C360" s="2">
        <v>80</v>
      </c>
      <c r="D360" s="2">
        <v>0</v>
      </c>
      <c r="E360" s="7">
        <f t="shared" si="28"/>
        <v>8.4003679923256414E-2</v>
      </c>
      <c r="F360" s="7">
        <f t="shared" si="30"/>
        <v>-1.2567731213408706E-3</v>
      </c>
      <c r="G360" s="2">
        <f t="shared" si="29"/>
        <v>0.22357033936029236</v>
      </c>
      <c r="H360" s="2">
        <f>(SystemConstants!$B$6*F360)+(0.5*SystemConstants!$B$7*SystemConstants!$B$5*Data!E360^2)+(0.5*SystemConstants!$B$7*SystemConstants!$B$2*SystemConstants!$B$3*Data!E360^2)</f>
        <v>4.0348818788914151</v>
      </c>
      <c r="I360" s="1"/>
      <c r="J360" s="1"/>
      <c r="K360" s="1"/>
    </row>
    <row r="361" spans="1:11" x14ac:dyDescent="0.45">
      <c r="A361" s="2">
        <f t="shared" si="27"/>
        <v>359</v>
      </c>
      <c r="B361" s="2">
        <f t="shared" si="26"/>
        <v>20.333333333333631</v>
      </c>
      <c r="C361" s="2">
        <v>80</v>
      </c>
      <c r="D361" s="2">
        <v>0</v>
      </c>
      <c r="E361" s="7">
        <f t="shared" si="28"/>
        <v>8.2743069790424784E-2</v>
      </c>
      <c r="F361" s="7">
        <f t="shared" si="30"/>
        <v>-1.2606101328316299E-3</v>
      </c>
      <c r="G361" s="2">
        <f t="shared" si="29"/>
        <v>0.22402197729487178</v>
      </c>
      <c r="H361" s="2">
        <f>(SystemConstants!$B$6*F361)+(0.5*SystemConstants!$B$7*SystemConstants!$B$5*Data!E361^2)+(0.5*SystemConstants!$B$7*SystemConstants!$B$2*SystemConstants!$B$3*Data!E361^2)</f>
        <v>3.9146494875734836</v>
      </c>
      <c r="I361" s="1"/>
      <c r="J361" s="1"/>
      <c r="K361" s="1"/>
    </row>
    <row r="362" spans="1:11" x14ac:dyDescent="0.45">
      <c r="A362" s="3">
        <f t="shared" si="27"/>
        <v>360</v>
      </c>
      <c r="B362" s="3">
        <f t="shared" si="26"/>
        <v>20.000000000000298</v>
      </c>
      <c r="C362" s="3">
        <v>80</v>
      </c>
      <c r="D362" s="3">
        <v>0</v>
      </c>
      <c r="E362" s="6">
        <f t="shared" si="28"/>
        <v>8.1478664941968759E-2</v>
      </c>
      <c r="F362" s="6">
        <f t="shared" si="30"/>
        <v>-1.2644048484560244E-3</v>
      </c>
      <c r="G362" s="2">
        <f t="shared" si="29"/>
        <v>0.22446811509897585</v>
      </c>
      <c r="H362" s="3">
        <f>(SystemConstants!$B$6*F362)+(0.5*SystemConstants!$B$7*SystemConstants!$B$5*Data!E362^2)+(0.5*SystemConstants!$B$7*SystemConstants!$B$2*SystemConstants!$B$3*Data!E362^2)</f>
        <v>3.795881302997167</v>
      </c>
      <c r="I362" s="11"/>
      <c r="J362" s="11"/>
      <c r="K362" s="11"/>
    </row>
    <row r="363" spans="1:11" x14ac:dyDescent="0.45">
      <c r="A363" s="2">
        <f t="shared" si="27"/>
        <v>361</v>
      </c>
      <c r="B363" s="2">
        <f>B362+(30/180)</f>
        <v>20.166666666666966</v>
      </c>
      <c r="C363" s="2">
        <f>-2*B363+120</f>
        <v>79.66666666666606</v>
      </c>
      <c r="D363" s="2">
        <v>0</v>
      </c>
      <c r="E363" s="7">
        <f t="shared" si="28"/>
        <v>0.28260033187038403</v>
      </c>
      <c r="F363" s="7">
        <f t="shared" si="30"/>
        <v>0.20112166692841527</v>
      </c>
      <c r="G363" s="2">
        <f t="shared" si="29"/>
        <v>0.16909674322034163</v>
      </c>
      <c r="H363" s="2">
        <f>(SystemConstants!$B$6*F363)+(0.5*SystemConstants!$B$7*SystemConstants!$B$5*Data!E363^2)+(0.5*SystemConstants!$B$7*SystemConstants!$B$2*SystemConstants!$B$3*Data!E363^2)</f>
        <v>45.879932475663033</v>
      </c>
      <c r="I363" s="1"/>
      <c r="J363" s="1"/>
      <c r="K363" s="1"/>
    </row>
    <row r="364" spans="1:11" x14ac:dyDescent="0.45">
      <c r="A364" s="2">
        <f t="shared" si="27"/>
        <v>362</v>
      </c>
      <c r="B364" s="2">
        <f>B363+(30/180)</f>
        <v>20.333333333333634</v>
      </c>
      <c r="C364" s="2">
        <f t="shared" ref="C364:C427" si="31">-2*B364+120</f>
        <v>79.333333333332732</v>
      </c>
      <c r="D364" s="2">
        <v>0</v>
      </c>
      <c r="E364" s="7">
        <f t="shared" si="28"/>
        <v>0.28187960040071403</v>
      </c>
      <c r="F364" s="7">
        <f t="shared" si="30"/>
        <v>-7.2073146966999957E-4</v>
      </c>
      <c r="G364" s="2">
        <f t="shared" si="29"/>
        <v>0.1702622469744296</v>
      </c>
      <c r="H364" s="2">
        <f>(SystemConstants!$B$6*F364)+(0.5*SystemConstants!$B$7*SystemConstants!$B$5*Data!E364^2)+(0.5*SystemConstants!$B$7*SystemConstants!$B$2*SystemConstants!$B$3*Data!E364^2)</f>
        <v>45.445392722532937</v>
      </c>
      <c r="I364" s="1"/>
      <c r="J364" s="1"/>
      <c r="K364" s="1"/>
    </row>
    <row r="365" spans="1:11" x14ac:dyDescent="0.45">
      <c r="A365" s="2">
        <f t="shared" si="27"/>
        <v>363</v>
      </c>
      <c r="B365" s="2">
        <f t="shared" ref="B365:B428" si="32">B364+(30/180)</f>
        <v>20.500000000000302</v>
      </c>
      <c r="C365" s="2">
        <f t="shared" si="31"/>
        <v>78.999999999999403</v>
      </c>
      <c r="D365" s="2">
        <v>0</v>
      </c>
      <c r="E365" s="7">
        <f t="shared" si="28"/>
        <v>0.28115140134036665</v>
      </c>
      <c r="F365" s="7">
        <f t="shared" si="30"/>
        <v>-7.2819906034737869E-4</v>
      </c>
      <c r="G365" s="2">
        <f t="shared" si="29"/>
        <v>0.17143680396636948</v>
      </c>
      <c r="H365" s="2">
        <f>(SystemConstants!$B$6*F365)+(0.5*SystemConstants!$B$7*SystemConstants!$B$5*Data!E365^2)+(0.5*SystemConstants!$B$7*SystemConstants!$B$2*SystemConstants!$B$3*Data!E365^2)</f>
        <v>45.210880379145905</v>
      </c>
      <c r="I365" s="1"/>
      <c r="J365" s="1"/>
      <c r="K365" s="1"/>
    </row>
    <row r="366" spans="1:11" x14ac:dyDescent="0.45">
      <c r="A366" s="2">
        <f t="shared" si="27"/>
        <v>364</v>
      </c>
      <c r="B366" s="2">
        <f t="shared" si="32"/>
        <v>20.66666666666697</v>
      </c>
      <c r="C366" s="2">
        <f t="shared" si="31"/>
        <v>78.66666666666606</v>
      </c>
      <c r="D366" s="2">
        <v>0</v>
      </c>
      <c r="E366" s="7">
        <f t="shared" si="28"/>
        <v>0.28041565086253684</v>
      </c>
      <c r="F366" s="7">
        <f t="shared" si="30"/>
        <v>-7.3575047782981073E-4</v>
      </c>
      <c r="G366" s="2">
        <f t="shared" si="29"/>
        <v>0.17262045540640469</v>
      </c>
      <c r="H366" s="2">
        <f>(SystemConstants!$B$6*F366)+(0.5*SystemConstants!$B$7*SystemConstants!$B$5*Data!E366^2)+(0.5*SystemConstants!$B$7*SystemConstants!$B$2*SystemConstants!$B$3*Data!E366^2)</f>
        <v>44.974552202952083</v>
      </c>
      <c r="I366" s="1"/>
      <c r="J366" s="1"/>
      <c r="K366" s="1"/>
    </row>
    <row r="367" spans="1:11" x14ac:dyDescent="0.45">
      <c r="A367" s="2">
        <f t="shared" si="27"/>
        <v>365</v>
      </c>
      <c r="B367" s="2">
        <f t="shared" si="32"/>
        <v>20.833333333333638</v>
      </c>
      <c r="C367" s="2">
        <f t="shared" si="31"/>
        <v>78.333333333332718</v>
      </c>
      <c r="D367" s="2">
        <v>0</v>
      </c>
      <c r="E367" s="7">
        <f t="shared" si="28"/>
        <v>0.27967226436918224</v>
      </c>
      <c r="F367" s="7">
        <f t="shared" si="30"/>
        <v>-7.4338649335459195E-4</v>
      </c>
      <c r="G367" s="2">
        <f t="shared" si="29"/>
        <v>0.17381324134927048</v>
      </c>
      <c r="H367" s="2">
        <f>(SystemConstants!$B$6*F367)+(0.5*SystemConstants!$B$7*SystemConstants!$B$5*Data!E367^2)+(0.5*SystemConstants!$B$7*SystemConstants!$B$2*SystemConstants!$B$3*Data!E367^2)</f>
        <v>44.736400194990296</v>
      </c>
      <c r="I367" s="1"/>
      <c r="J367" s="1"/>
      <c r="K367" s="1"/>
    </row>
    <row r="368" spans="1:11" x14ac:dyDescent="0.45">
      <c r="A368" s="2">
        <f t="shared" si="27"/>
        <v>366</v>
      </c>
      <c r="B368" s="2">
        <f t="shared" si="32"/>
        <v>21.000000000000306</v>
      </c>
      <c r="C368" s="2">
        <f t="shared" si="31"/>
        <v>77.999999999999389</v>
      </c>
      <c r="D368" s="2">
        <v>0</v>
      </c>
      <c r="E368" s="7">
        <f t="shared" si="28"/>
        <v>0.27892115649305538</v>
      </c>
      <c r="F368" s="7">
        <f t="shared" si="30"/>
        <v>-7.5110787612686636E-4</v>
      </c>
      <c r="G368" s="2">
        <f t="shared" si="29"/>
        <v>0.17501520064986961</v>
      </c>
      <c r="H368" s="2">
        <f>(SystemConstants!$B$6*F368)+(0.5*SystemConstants!$B$7*SystemConstants!$B$5*Data!E368^2)+(0.5*SystemConstants!$B$7*SystemConstants!$B$2*SystemConstants!$B$3*Data!E368^2)</f>
        <v>44.496416597270226</v>
      </c>
      <c r="I368" s="1"/>
      <c r="J368" s="1"/>
      <c r="K368" s="1"/>
    </row>
    <row r="369" spans="1:11" x14ac:dyDescent="0.45">
      <c r="A369" s="2">
        <f t="shared" si="27"/>
        <v>367</v>
      </c>
      <c r="B369" s="2">
        <f t="shared" si="32"/>
        <v>21.166666666666973</v>
      </c>
      <c r="C369" s="2">
        <f t="shared" si="31"/>
        <v>77.66666666666606</v>
      </c>
      <c r="D369" s="2">
        <v>0</v>
      </c>
      <c r="E369" s="7">
        <f t="shared" si="28"/>
        <v>0.27816224110075893</v>
      </c>
      <c r="F369" s="7">
        <f t="shared" si="30"/>
        <v>-7.5891539229644422E-4</v>
      </c>
      <c r="G369" s="2">
        <f t="shared" si="29"/>
        <v>0.17622637089691329</v>
      </c>
      <c r="H369" s="2">
        <f>(SystemConstants!$B$6*F369)+(0.5*SystemConstants!$B$7*SystemConstants!$B$5*Data!E369^2)+(0.5*SystemConstants!$B$7*SystemConstants!$B$2*SystemConstants!$B$3*Data!E369^2)</f>
        <v>44.25459390451514</v>
      </c>
      <c r="I369" s="1"/>
      <c r="J369" s="1"/>
      <c r="K369" s="1"/>
    </row>
    <row r="370" spans="1:11" x14ac:dyDescent="0.45">
      <c r="A370" s="2">
        <f t="shared" si="27"/>
        <v>368</v>
      </c>
      <c r="B370" s="2">
        <f t="shared" si="32"/>
        <v>21.333333333333641</v>
      </c>
      <c r="C370" s="2">
        <f t="shared" si="31"/>
        <v>77.333333333332718</v>
      </c>
      <c r="D370" s="2">
        <v>0</v>
      </c>
      <c r="E370" s="7">
        <f t="shared" si="28"/>
        <v>0.2773954312964122</v>
      </c>
      <c r="F370" s="7">
        <f t="shared" si="30"/>
        <v>-7.6680980434673529E-4</v>
      </c>
      <c r="G370" s="2">
        <f t="shared" si="29"/>
        <v>0.17744678835002256</v>
      </c>
      <c r="H370" s="2">
        <f>(SystemConstants!$B$6*F370)+(0.5*SystemConstants!$B$7*SystemConstants!$B$5*Data!E370^2)+(0.5*SystemConstants!$B$7*SystemConstants!$B$2*SystemConstants!$B$3*Data!E370^2)</f>
        <v>44.010924876268099</v>
      </c>
      <c r="I370" s="1"/>
      <c r="J370" s="1"/>
      <c r="K370" s="1"/>
    </row>
    <row r="371" spans="1:11" x14ac:dyDescent="0.45">
      <c r="A371" s="2">
        <f t="shared" si="27"/>
        <v>369</v>
      </c>
      <c r="B371" s="2">
        <f t="shared" si="32"/>
        <v>21.500000000000309</v>
      </c>
      <c r="C371" s="2">
        <f t="shared" si="31"/>
        <v>76.999999999999375</v>
      </c>
      <c r="D371" s="2">
        <v>0</v>
      </c>
      <c r="E371" s="7">
        <f t="shared" si="28"/>
        <v>0.27662063942567272</v>
      </c>
      <c r="F371" s="7">
        <f t="shared" si="30"/>
        <v>-7.7479187073947742E-4</v>
      </c>
      <c r="G371" s="2">
        <f t="shared" si="29"/>
        <v>0.17867648787629528</v>
      </c>
      <c r="H371" s="2">
        <f>(SystemConstants!$B$6*F371)+(0.5*SystemConstants!$B$7*SystemConstants!$B$5*Data!E371^2)+(0.5*SystemConstants!$B$7*SystemConstants!$B$2*SystemConstants!$B$3*Data!E371^2)</f>
        <v>43.765402549279116</v>
      </c>
      <c r="I371" s="1"/>
      <c r="J371" s="1"/>
      <c r="K371" s="1"/>
    </row>
    <row r="372" spans="1:11" x14ac:dyDescent="0.45">
      <c r="A372" s="2">
        <f t="shared" si="27"/>
        <v>370</v>
      </c>
      <c r="B372" s="2">
        <f t="shared" si="32"/>
        <v>21.666666666666977</v>
      </c>
      <c r="C372" s="2">
        <f t="shared" si="31"/>
        <v>76.666666666666046</v>
      </c>
      <c r="D372" s="2">
        <v>0</v>
      </c>
      <c r="E372" s="7">
        <f t="shared" si="28"/>
        <v>0.27583777708058221</v>
      </c>
      <c r="F372" s="7">
        <f t="shared" si="30"/>
        <v>-7.8286234509050701E-4</v>
      </c>
      <c r="G372" s="2">
        <f t="shared" si="29"/>
        <v>0.17991550290261055</v>
      </c>
      <c r="H372" s="2">
        <f>(SystemConstants!$B$6*F372)+(0.5*SystemConstants!$B$7*SystemConstants!$B$5*Data!E372^2)+(0.5*SystemConstants!$B$7*SystemConstants!$B$2*SystemConstants!$B$3*Data!E372^2)</f>
        <v>43.518020250321626</v>
      </c>
      <c r="I372" s="1"/>
      <c r="J372" s="1"/>
      <c r="K372" s="1"/>
    </row>
    <row r="373" spans="1:11" x14ac:dyDescent="0.45">
      <c r="A373" s="2">
        <f t="shared" si="27"/>
        <v>371</v>
      </c>
      <c r="B373" s="2">
        <f t="shared" si="32"/>
        <v>21.833333333333645</v>
      </c>
      <c r="C373" s="2">
        <f t="shared" si="31"/>
        <v>76.333333333332718</v>
      </c>
      <c r="D373" s="2">
        <v>0</v>
      </c>
      <c r="E373" s="7">
        <f t="shared" si="28"/>
        <v>0.27504675510479615</v>
      </c>
      <c r="F373" s="7">
        <f t="shared" si="30"/>
        <v>-7.9102197578606592E-4</v>
      </c>
      <c r="G373" s="2">
        <f t="shared" si="29"/>
        <v>0.18116386531862178</v>
      </c>
      <c r="H373" s="2">
        <f>(SystemConstants!$B$6*F373)+(0.5*SystemConstants!$B$7*SystemConstants!$B$5*Data!E373^2)+(0.5*SystemConstants!$B$7*SystemConstants!$B$2*SystemConstants!$B$3*Data!E373^2)</f>
        <v>43.268771609295577</v>
      </c>
      <c r="I373" s="1"/>
      <c r="J373" s="1"/>
      <c r="K373" s="1"/>
    </row>
    <row r="374" spans="1:11" x14ac:dyDescent="0.45">
      <c r="A374" s="2">
        <f t="shared" si="27"/>
        <v>372</v>
      </c>
      <c r="B374" s="2">
        <f t="shared" si="32"/>
        <v>22.000000000000313</v>
      </c>
      <c r="C374" s="2">
        <f t="shared" si="31"/>
        <v>75.999999999999375</v>
      </c>
      <c r="D374" s="2">
        <v>0</v>
      </c>
      <c r="E374" s="7">
        <f t="shared" si="28"/>
        <v>0.2742474835994102</v>
      </c>
      <c r="F374" s="7">
        <f t="shared" si="30"/>
        <v>-7.992715053859456E-4</v>
      </c>
      <c r="G374" s="2">
        <f t="shared" si="29"/>
        <v>0.18242160545067612</v>
      </c>
      <c r="H374" s="2">
        <f>(SystemConstants!$B$6*F374)+(0.5*SystemConstants!$B$7*SystemConstants!$B$5*Data!E374^2)+(0.5*SystemConstants!$B$7*SystemConstants!$B$2*SystemConstants!$B$3*Data!E374^2)</f>
        <v>43.017650572683714</v>
      </c>
      <c r="I374" s="1"/>
      <c r="J374" s="1"/>
      <c r="K374" s="1"/>
    </row>
    <row r="375" spans="1:11" x14ac:dyDescent="0.45">
      <c r="A375" s="2">
        <f t="shared" si="27"/>
        <v>373</v>
      </c>
      <c r="B375" s="2">
        <f t="shared" si="32"/>
        <v>22.16666666666698</v>
      </c>
      <c r="C375" s="2">
        <f t="shared" si="31"/>
        <v>75.666666666666032</v>
      </c>
      <c r="D375" s="2">
        <v>0</v>
      </c>
      <c r="E375" s="7">
        <f t="shared" si="28"/>
        <v>0.27343987192949726</v>
      </c>
      <c r="F375" s="7">
        <f t="shared" si="30"/>
        <v>-8.0761166991294431E-4</v>
      </c>
      <c r="G375" s="2">
        <f t="shared" si="29"/>
        <v>0.18368875194872669</v>
      </c>
      <c r="H375" s="2">
        <f>(SystemConstants!$B$6*F375)+(0.5*SystemConstants!$B$7*SystemConstants!$B$5*Data!E375^2)+(0.5*SystemConstants!$B$7*SystemConstants!$B$2*SystemConstants!$B$3*Data!E375^2)</f>
        <v>42.764651417394425</v>
      </c>
      <c r="I375" s="1"/>
      <c r="J375" s="1"/>
      <c r="K375" s="1"/>
    </row>
    <row r="376" spans="1:11" x14ac:dyDescent="0.45">
      <c r="A376" s="2">
        <f t="shared" si="27"/>
        <v>374</v>
      </c>
      <c r="B376" s="2">
        <f t="shared" si="32"/>
        <v>22.333333333333648</v>
      </c>
      <c r="C376" s="2">
        <f t="shared" si="31"/>
        <v>75.333333333332703</v>
      </c>
      <c r="D376" s="2">
        <v>0</v>
      </c>
      <c r="E376" s="7">
        <f t="shared" si="28"/>
        <v>0.27262382873129809</v>
      </c>
      <c r="F376" s="7">
        <f t="shared" si="30"/>
        <v>-8.1604319819916782E-4</v>
      </c>
      <c r="G376" s="2">
        <f t="shared" si="29"/>
        <v>0.18496533175582472</v>
      </c>
      <c r="H376" s="2">
        <f>(SystemConstants!$B$6*F376)+(0.5*SystemConstants!$B$7*SystemConstants!$B$5*Data!E376^2)+(0.5*SystemConstants!$B$7*SystemConstants!$B$2*SystemConstants!$B$3*Data!E376^2)</f>
        <v>42.509768764970232</v>
      </c>
      <c r="I376" s="1"/>
      <c r="J376" s="1"/>
      <c r="K376" s="1"/>
    </row>
    <row r="377" spans="1:11" x14ac:dyDescent="0.45">
      <c r="A377" s="2">
        <f t="shared" si="27"/>
        <v>375</v>
      </c>
      <c r="B377" s="2">
        <f t="shared" si="32"/>
        <v>22.500000000000316</v>
      </c>
      <c r="C377" s="2">
        <f t="shared" si="31"/>
        <v>74.999999999999375</v>
      </c>
      <c r="D377" s="2">
        <v>0</v>
      </c>
      <c r="E377" s="7">
        <f t="shared" si="28"/>
        <v>0.27179926191999471</v>
      </c>
      <c r="F377" s="7">
        <f t="shared" si="30"/>
        <v>-8.2456681130338438E-4</v>
      </c>
      <c r="G377" s="2">
        <f t="shared" si="29"/>
        <v>0.18625137000388634</v>
      </c>
      <c r="H377" s="2">
        <f>(SystemConstants!$B$6*F377)+(0.5*SystemConstants!$B$7*SystemConstants!$B$5*Data!E377^2)+(0.5*SystemConstants!$B$7*SystemConstants!$B$2*SystemConstants!$B$3*Data!E377^2)</f>
        <v>42.252997596136609</v>
      </c>
      <c r="I377" s="1"/>
      <c r="J377" s="1"/>
      <c r="K377" s="1"/>
    </row>
    <row r="378" spans="1:11" x14ac:dyDescent="0.45">
      <c r="A378" s="2">
        <f t="shared" si="27"/>
        <v>376</v>
      </c>
      <c r="B378" s="2">
        <f t="shared" si="32"/>
        <v>22.666666666666984</v>
      </c>
      <c r="C378" s="2">
        <f t="shared" si="31"/>
        <v>74.666666666666032</v>
      </c>
      <c r="D378" s="2">
        <v>0</v>
      </c>
      <c r="E378" s="7">
        <f t="shared" si="28"/>
        <v>0.27096607869830791</v>
      </c>
      <c r="F378" s="7">
        <f t="shared" si="30"/>
        <v>-8.3318322168679515E-4</v>
      </c>
      <c r="G378" s="2">
        <f t="shared" si="29"/>
        <v>0.18754688995191354</v>
      </c>
      <c r="H378" s="2">
        <f>(SystemConstants!$B$6*F378)+(0.5*SystemConstants!$B$7*SystemConstants!$B$5*Data!E378^2)+(0.5*SystemConstants!$B$7*SystemConstants!$B$2*SystemConstants!$B$3*Data!E378^2)</f>
        <v>41.994333265763835</v>
      </c>
      <c r="I378" s="1"/>
      <c r="J378" s="1"/>
      <c r="K378" s="1"/>
    </row>
    <row r="379" spans="1:11" x14ac:dyDescent="0.45">
      <c r="A379" s="2">
        <f t="shared" si="27"/>
        <v>377</v>
      </c>
      <c r="B379" s="2">
        <f t="shared" si="32"/>
        <v>22.833333333333652</v>
      </c>
      <c r="C379" s="2">
        <f t="shared" si="31"/>
        <v>74.333333333332689</v>
      </c>
      <c r="D379" s="2">
        <v>0</v>
      </c>
      <c r="E379" s="7">
        <f t="shared" si="28"/>
        <v>0.27012418556553541</v>
      </c>
      <c r="F379" s="7">
        <f t="shared" si="30"/>
        <v>-8.4189313277249767E-4</v>
      </c>
      <c r="G379" s="2">
        <f t="shared" si="29"/>
        <v>0.1888519129106532</v>
      </c>
      <c r="H379" s="2">
        <f>(SystemConstants!$B$6*F379)+(0.5*SystemConstants!$B$7*SystemConstants!$B$5*Data!E379^2)+(0.5*SystemConstants!$B$7*SystemConstants!$B$2*SystemConstants!$B$3*Data!E379^2)</f>
        <v>41.733771518118125</v>
      </c>
      <c r="I379" s="1"/>
      <c r="J379" s="1"/>
      <c r="K379" s="1"/>
    </row>
    <row r="380" spans="1:11" x14ac:dyDescent="0.45">
      <c r="A380" s="2">
        <f t="shared" si="27"/>
        <v>378</v>
      </c>
      <c r="B380" s="2">
        <f t="shared" si="32"/>
        <v>23.00000000000032</v>
      </c>
      <c r="C380" s="2">
        <f t="shared" si="31"/>
        <v>73.999999999999361</v>
      </c>
      <c r="D380" s="2">
        <v>0</v>
      </c>
      <c r="E380" s="7">
        <f t="shared" si="28"/>
        <v>0.26927348832781206</v>
      </c>
      <c r="F380" s="7">
        <f t="shared" si="30"/>
        <v>-8.5069723772335237E-4</v>
      </c>
      <c r="G380" s="2">
        <f t="shared" si="29"/>
        <v>0.19016645816041153</v>
      </c>
      <c r="H380" s="2">
        <f>(SystemConstants!$B$6*F380)+(0.5*SystemConstants!$B$7*SystemConstants!$B$5*Data!E380^2)+(0.5*SystemConstants!$B$7*SystemConstants!$B$2*SystemConstants!$B$3*Data!E380^2)</f>
        <v>41.471308502641818</v>
      </c>
      <c r="I380" s="1"/>
      <c r="J380" s="1"/>
      <c r="K380" s="1"/>
    </row>
    <row r="381" spans="1:11" x14ac:dyDescent="0.45">
      <c r="A381" s="2">
        <f t="shared" si="27"/>
        <v>379</v>
      </c>
      <c r="B381" s="2">
        <f t="shared" si="32"/>
        <v>23.166666666666988</v>
      </c>
      <c r="C381" s="2">
        <f t="shared" si="31"/>
        <v>73.666666666666032</v>
      </c>
      <c r="D381" s="2">
        <v>0</v>
      </c>
      <c r="E381" s="7">
        <f t="shared" si="28"/>
        <v>0.26841389210869693</v>
      </c>
      <c r="F381" s="7">
        <f t="shared" si="30"/>
        <v>-8.5959621911513295E-4</v>
      </c>
      <c r="G381" s="2">
        <f t="shared" si="29"/>
        <v>0.19149054287931344</v>
      </c>
      <c r="H381" s="2">
        <f>(SystemConstants!$B$6*F381)+(0.5*SystemConstants!$B$7*SystemConstants!$B$5*Data!E381^2)+(0.5*SystemConstants!$B$7*SystemConstants!$B$2*SystemConstants!$B$3*Data!E381^2)</f>
        <v>41.206940789978418</v>
      </c>
      <c r="I381" s="1"/>
      <c r="J381" s="1"/>
      <c r="K381" s="1"/>
    </row>
    <row r="382" spans="1:11" x14ac:dyDescent="0.45">
      <c r="A382" s="2">
        <f t="shared" si="27"/>
        <v>380</v>
      </c>
      <c r="B382" s="2">
        <f t="shared" si="32"/>
        <v>23.333333333333655</v>
      </c>
      <c r="C382" s="2">
        <f t="shared" si="31"/>
        <v>73.333333333332689</v>
      </c>
      <c r="D382" s="2">
        <v>0</v>
      </c>
      <c r="E382" s="7">
        <f t="shared" si="28"/>
        <v>0.267545301360812</v>
      </c>
      <c r="F382" s="7">
        <f t="shared" si="30"/>
        <v>-8.6859074788492308E-4</v>
      </c>
      <c r="G382" s="2">
        <f t="shared" si="29"/>
        <v>0.19282418204013821</v>
      </c>
      <c r="H382" s="2">
        <f>(SystemConstants!$B$6*F382)+(0.5*SystemConstants!$B$7*SystemConstants!$B$5*Data!E382^2)+(0.5*SystemConstants!$B$7*SystemConstants!$B$2*SystemConstants!$B$3*Data!E382^2)</f>
        <v>40.940665388463998</v>
      </c>
      <c r="I382" s="1"/>
      <c r="J382" s="1"/>
      <c r="K382" s="1"/>
    </row>
    <row r="383" spans="1:11" x14ac:dyDescent="0.45">
      <c r="A383" s="2">
        <f t="shared" si="27"/>
        <v>381</v>
      </c>
      <c r="B383" s="2">
        <f t="shared" si="32"/>
        <v>23.500000000000323</v>
      </c>
      <c r="C383" s="2">
        <f t="shared" si="31"/>
        <v>72.999999999999346</v>
      </c>
      <c r="D383" s="2">
        <v>0</v>
      </c>
      <c r="E383" s="7">
        <f t="shared" si="28"/>
        <v>0.2666676198781488</v>
      </c>
      <c r="F383" s="7">
        <f t="shared" si="30"/>
        <v>-8.7768148266320622E-4</v>
      </c>
      <c r="G383" s="2">
        <f t="shared" si="29"/>
        <v>0.19416738834673364</v>
      </c>
      <c r="H383" s="2">
        <f>(SystemConstants!$B$6*F383)+(0.5*SystemConstants!$B$7*SystemConstants!$B$5*Data!E383^2)+(0.5*SystemConstants!$B$7*SystemConstants!$B$2*SystemConstants!$B$3*Data!E383^2)</f>
        <v>40.672479760959895</v>
      </c>
      <c r="I383" s="1"/>
      <c r="J383" s="1"/>
      <c r="K383" s="1"/>
    </row>
    <row r="384" spans="1:11" x14ac:dyDescent="0.45">
      <c r="A384" s="2">
        <f t="shared" si="27"/>
        <v>382</v>
      </c>
      <c r="B384" s="2">
        <f t="shared" si="32"/>
        <v>23.666666666666991</v>
      </c>
      <c r="C384" s="2">
        <f t="shared" si="31"/>
        <v>72.666666666666018</v>
      </c>
      <c r="D384" s="2">
        <v>0</v>
      </c>
      <c r="E384" s="7">
        <f t="shared" si="28"/>
        <v>0.26578075080935548</v>
      </c>
      <c r="F384" s="7">
        <f t="shared" si="30"/>
        <v>-8.8686906879331673E-4</v>
      </c>
      <c r="G384" s="2">
        <f t="shared" si="29"/>
        <v>0.19552017213932471</v>
      </c>
      <c r="H384" s="2">
        <f>(SystemConstants!$B$6*F384)+(0.5*SystemConstants!$B$7*SystemConstants!$B$5*Data!E384^2)+(0.5*SystemConstants!$B$7*SystemConstants!$B$2*SystemConstants!$B$3*Data!E384^2)</f>
        <v>40.402381842117542</v>
      </c>
      <c r="I384" s="1"/>
      <c r="J384" s="1"/>
      <c r="K384" s="1"/>
    </row>
    <row r="385" spans="1:11" x14ac:dyDescent="0.45">
      <c r="A385" s="2">
        <f t="shared" si="27"/>
        <v>383</v>
      </c>
      <c r="B385" s="2">
        <f t="shared" si="32"/>
        <v>23.833333333333659</v>
      </c>
      <c r="C385" s="2">
        <f t="shared" si="31"/>
        <v>72.333333333332689</v>
      </c>
      <c r="D385" s="2">
        <v>0</v>
      </c>
      <c r="E385" s="7">
        <f t="shared" si="28"/>
        <v>0.26488459667200459</v>
      </c>
      <c r="F385" s="7">
        <f t="shared" si="30"/>
        <v>-8.9615413735089078E-4</v>
      </c>
      <c r="G385" s="2">
        <f t="shared" si="29"/>
        <v>0.19688254130902028</v>
      </c>
      <c r="H385" s="2">
        <f>(SystemConstants!$B$6*F385)+(0.5*SystemConstants!$B$7*SystemConstants!$B$5*Data!E385^2)+(0.5*SystemConstants!$B$7*SystemConstants!$B$2*SystemConstants!$B$3*Data!E385^2)</f>
        <v>40.130370056068053</v>
      </c>
      <c r="I385" s="1"/>
      <c r="J385" s="1"/>
      <c r="K385" s="1"/>
    </row>
    <row r="386" spans="1:11" x14ac:dyDescent="0.45">
      <c r="A386" s="2">
        <f t="shared" si="27"/>
        <v>384</v>
      </c>
      <c r="B386" s="2">
        <f t="shared" si="32"/>
        <v>24.000000000000327</v>
      </c>
      <c r="C386" s="2">
        <f t="shared" si="31"/>
        <v>71.999999999999346</v>
      </c>
      <c r="D386" s="2">
        <v>0</v>
      </c>
      <c r="E386" s="7">
        <f t="shared" si="28"/>
        <v>0.26397905936737232</v>
      </c>
      <c r="F386" s="7">
        <f t="shared" si="30"/>
        <v>-9.0553730463227566E-4</v>
      </c>
      <c r="G386" s="2">
        <f t="shared" si="29"/>
        <v>0.19825450119929214</v>
      </c>
      <c r="H386" s="2">
        <f>(SystemConstants!$B$6*F386)+(0.5*SystemConstants!$B$7*SystemConstants!$B$5*Data!E386^2)+(0.5*SystemConstants!$B$7*SystemConstants!$B$2*SystemConstants!$B$3*Data!E386^2)</f>
        <v>39.856443334387002</v>
      </c>
      <c r="I386" s="1"/>
      <c r="J386" s="1"/>
      <c r="K386" s="1"/>
    </row>
    <row r="387" spans="1:11" x14ac:dyDescent="0.45">
      <c r="A387" s="2">
        <f t="shared" ref="A387:A450" si="33">A386+1</f>
        <v>385</v>
      </c>
      <c r="B387" s="2">
        <f t="shared" si="32"/>
        <v>24.166666666666995</v>
      </c>
      <c r="C387" s="2">
        <f t="shared" si="31"/>
        <v>71.666666666666003</v>
      </c>
      <c r="D387" s="2">
        <v>0</v>
      </c>
      <c r="E387" s="7">
        <f t="shared" si="28"/>
        <v>0.26306404019662466</v>
      </c>
      <c r="F387" s="7">
        <f t="shared" si="30"/>
        <v>-9.1501917074765515E-4</v>
      </c>
      <c r="G387" s="2">
        <f t="shared" si="29"/>
        <v>0.19963605452414576</v>
      </c>
      <c r="H387" s="2">
        <f>(SystemConstants!$B$6*F387)+(0.5*SystemConstants!$B$7*SystemConstants!$B$5*Data!E387^2)+(0.5*SystemConstants!$B$7*SystemConstants!$B$2*SystemConstants!$B$3*Data!E387^2)</f>
        <v>39.580601134600506</v>
      </c>
      <c r="I387" s="1"/>
      <c r="J387" s="1"/>
      <c r="K387" s="1"/>
    </row>
    <row r="388" spans="1:11" x14ac:dyDescent="0.45">
      <c r="A388" s="2">
        <f t="shared" si="33"/>
        <v>386</v>
      </c>
      <c r="B388" s="2">
        <f t="shared" si="32"/>
        <v>24.333333333333663</v>
      </c>
      <c r="C388" s="2">
        <f t="shared" si="31"/>
        <v>71.333333333332675</v>
      </c>
      <c r="D388" s="2">
        <v>0</v>
      </c>
      <c r="E388" s="7">
        <f t="shared" ref="E388:E451" si="34">ABS((SQRT(B388^2+C388^2+D388^2)-SQRT(B387^2+C387^2+D387^2))/(A388-A387))</f>
        <v>0.26213943987771415</v>
      </c>
      <c r="F388" s="7">
        <f t="shared" si="30"/>
        <v>-9.2460031891050676E-4</v>
      </c>
      <c r="G388" s="2">
        <f t="shared" si="29"/>
        <v>0.20102720126620263</v>
      </c>
      <c r="H388" s="2">
        <f>(SystemConstants!$B$6*F388)+(0.5*SystemConstants!$B$7*SystemConstants!$B$5*Data!E388^2)+(0.5*SystemConstants!$B$7*SystemConstants!$B$2*SystemConstants!$B$3*Data!E388^2)</f>
        <v>39.302843459010987</v>
      </c>
      <c r="I388" s="1"/>
      <c r="J388" s="1"/>
      <c r="K388" s="1"/>
    </row>
    <row r="389" spans="1:11" x14ac:dyDescent="0.45">
      <c r="A389" s="2">
        <f t="shared" si="33"/>
        <v>387</v>
      </c>
      <c r="B389" s="2">
        <f t="shared" si="32"/>
        <v>24.50000000000033</v>
      </c>
      <c r="C389" s="2">
        <f t="shared" si="31"/>
        <v>70.999999999999346</v>
      </c>
      <c r="D389" s="2">
        <v>0</v>
      </c>
      <c r="E389" s="7">
        <f t="shared" si="34"/>
        <v>0.26120515856339921</v>
      </c>
      <c r="F389" s="7">
        <f t="shared" si="30"/>
        <v>-9.3428131431494421E-4</v>
      </c>
      <c r="G389" s="2">
        <f t="shared" ref="G389:G452" si="35">DEGREES(ACOS( (B388*B389+C388*C389+D388*D389) / SQRT((B388^2+C388^2+D388^2)*(B389^2+C389^2+D389^2))))</f>
        <v>0.20242793859170299</v>
      </c>
      <c r="H389" s="2">
        <f>(SystemConstants!$B$6*F389)+(0.5*SystemConstants!$B$7*SystemConstants!$B$5*Data!E389^2)+(0.5*SystemConstants!$B$7*SystemConstants!$B$2*SystemConstants!$B$3*Data!E389^2)</f>
        <v>39.02317087396024</v>
      </c>
      <c r="I389" s="1"/>
      <c r="J389" s="1"/>
      <c r="K389" s="1"/>
    </row>
    <row r="390" spans="1:11" x14ac:dyDescent="0.45">
      <c r="A390" s="2">
        <f t="shared" si="33"/>
        <v>388</v>
      </c>
      <c r="B390" s="2">
        <f t="shared" si="32"/>
        <v>24.666666666666998</v>
      </c>
      <c r="C390" s="2">
        <f t="shared" si="31"/>
        <v>70.666666666666003</v>
      </c>
      <c r="D390" s="2">
        <v>0</v>
      </c>
      <c r="E390" s="7">
        <f t="shared" si="34"/>
        <v>0.26026109586010193</v>
      </c>
      <c r="F390" s="7">
        <f t="shared" si="30"/>
        <v>-9.4406270329727704E-4</v>
      </c>
      <c r="G390" s="2">
        <f t="shared" si="35"/>
        <v>0.20383826072262221</v>
      </c>
      <c r="H390" s="2">
        <f>(SystemConstants!$B$6*F390)+(0.5*SystemConstants!$B$7*SystemConstants!$B$5*Data!E390^2)+(0.5*SystemConstants!$B$7*SystemConstants!$B$2*SystemConstants!$B$3*Data!E390^2)</f>
        <v>38.741584529434334</v>
      </c>
      <c r="I390" s="1"/>
      <c r="J390" s="1"/>
      <c r="K390" s="1"/>
    </row>
    <row r="391" spans="1:11" x14ac:dyDescent="0.45">
      <c r="A391" s="2">
        <f t="shared" si="33"/>
        <v>389</v>
      </c>
      <c r="B391" s="2">
        <f t="shared" si="32"/>
        <v>24.833333333333666</v>
      </c>
      <c r="C391" s="2">
        <f t="shared" si="31"/>
        <v>70.333333333332661</v>
      </c>
      <c r="D391" s="2">
        <v>0</v>
      </c>
      <c r="E391" s="7">
        <f t="shared" si="34"/>
        <v>0.25930715084810174</v>
      </c>
      <c r="F391" s="7">
        <f t="shared" si="30"/>
        <v>-9.5394501200019022E-4</v>
      </c>
      <c r="G391" s="2">
        <f t="shared" si="35"/>
        <v>0.20525815888001872</v>
      </c>
      <c r="H391" s="2">
        <f>(SystemConstants!$B$6*F391)+(0.5*SystemConstants!$B$7*SystemConstants!$B$5*Data!E391^2)+(0.5*SystemConstants!$B$7*SystemConstants!$B$2*SystemConstants!$B$3*Data!E391^2)</f>
        <v>38.458086179150399</v>
      </c>
      <c r="I391" s="1"/>
      <c r="J391" s="1"/>
      <c r="K391" s="1"/>
    </row>
    <row r="392" spans="1:11" x14ac:dyDescent="0.45">
      <c r="A392" s="2">
        <f t="shared" si="33"/>
        <v>390</v>
      </c>
      <c r="B392" s="2">
        <f t="shared" si="32"/>
        <v>25.000000000000334</v>
      </c>
      <c r="C392" s="2">
        <f t="shared" si="31"/>
        <v>69.999999999999332</v>
      </c>
      <c r="D392" s="2">
        <v>0</v>
      </c>
      <c r="E392" s="7">
        <f t="shared" si="34"/>
        <v>0.25834322210262428</v>
      </c>
      <c r="F392" s="7">
        <f t="shared" si="30"/>
        <v>-9.6392874547746032E-4</v>
      </c>
      <c r="G392" s="2">
        <f t="shared" si="35"/>
        <v>0.20668762114718106</v>
      </c>
      <c r="H392" s="2">
        <f>(SystemConstants!$B$6*F392)+(0.5*SystemConstants!$B$7*SystemConstants!$B$5*Data!E392^2)+(0.5*SystemConstants!$B$7*SystemConstants!$B$2*SystemConstants!$B$3*Data!E392^2)</f>
        <v>38.172678200981579</v>
      </c>
      <c r="I392" s="1"/>
      <c r="J392" s="1"/>
      <c r="K392" s="1"/>
    </row>
    <row r="393" spans="1:11" x14ac:dyDescent="0.45">
      <c r="A393" s="2">
        <f t="shared" si="33"/>
        <v>391</v>
      </c>
      <c r="B393" s="2">
        <f t="shared" si="32"/>
        <v>25.166666666667002</v>
      </c>
      <c r="C393" s="2">
        <f t="shared" si="31"/>
        <v>69.666666666666003</v>
      </c>
      <c r="D393" s="2">
        <v>0</v>
      </c>
      <c r="E393" s="7">
        <f t="shared" si="34"/>
        <v>0.25736920771623772</v>
      </c>
      <c r="F393" s="7">
        <f t="shared" ref="F393:F456" si="36">(E393-E392)/(A393-A392)</f>
        <v>-9.7401438638655691E-4</v>
      </c>
      <c r="G393" s="2">
        <f t="shared" si="35"/>
        <v>0.20812663238419823</v>
      </c>
      <c r="H393" s="2">
        <f>(SystemConstants!$B$6*F393)+(0.5*SystemConstants!$B$7*SystemConstants!$B$5*Data!E393^2)+(0.5*SystemConstants!$B$7*SystemConstants!$B$2*SystemConstants!$B$3*Data!E393^2)</f>
        <v>37.885363617832603</v>
      </c>
      <c r="I393" s="1"/>
      <c r="J393" s="1"/>
      <c r="K393" s="1"/>
    </row>
    <row r="394" spans="1:11" x14ac:dyDescent="0.45">
      <c r="A394" s="2">
        <f t="shared" si="33"/>
        <v>392</v>
      </c>
      <c r="B394" s="2">
        <f t="shared" si="32"/>
        <v>25.33333333333367</v>
      </c>
      <c r="C394" s="2">
        <f t="shared" si="31"/>
        <v>69.333333333332661</v>
      </c>
      <c r="D394" s="2">
        <v>0</v>
      </c>
      <c r="E394" s="7">
        <f t="shared" si="34"/>
        <v>0.25638500532211594</v>
      </c>
      <c r="F394" s="7">
        <f t="shared" si="36"/>
        <v>-9.8420239412178034E-4</v>
      </c>
      <c r="G394" s="2">
        <f t="shared" si="35"/>
        <v>0.20957517410314197</v>
      </c>
      <c r="H394" s="2">
        <f>(SystemConstants!$B$6*F394)+(0.5*SystemConstants!$B$7*SystemConstants!$B$5*Data!E394^2)+(0.5*SystemConstants!$B$7*SystemConstants!$B$2*SystemConstants!$B$3*Data!E394^2)</f>
        <v>37.596146118822745</v>
      </c>
      <c r="I394" s="1"/>
      <c r="J394" s="1"/>
      <c r="K394" s="1"/>
    </row>
    <row r="395" spans="1:11" x14ac:dyDescent="0.45">
      <c r="A395" s="2">
        <f t="shared" si="33"/>
        <v>393</v>
      </c>
      <c r="B395" s="2">
        <f t="shared" si="32"/>
        <v>25.500000000000338</v>
      </c>
      <c r="C395" s="2">
        <f t="shared" si="31"/>
        <v>68.999999999999318</v>
      </c>
      <c r="D395" s="2">
        <v>0</v>
      </c>
      <c r="E395" s="7">
        <f t="shared" si="34"/>
        <v>0.25539051211882224</v>
      </c>
      <c r="F395" s="7">
        <f t="shared" si="36"/>
        <v>-9.9449320329370039E-4</v>
      </c>
      <c r="G395" s="2">
        <f t="shared" si="35"/>
        <v>0.21103322437630143</v>
      </c>
      <c r="H395" s="2">
        <f>(SystemConstants!$B$6*F395)+(0.5*SystemConstants!$B$7*SystemConstants!$B$5*Data!E395^2)+(0.5*SystemConstants!$B$7*SystemConstants!$B$2*SystemConstants!$B$3*Data!E395^2)</f>
        <v>37.305030080957671</v>
      </c>
      <c r="I395" s="1"/>
      <c r="J395" s="1"/>
      <c r="K395" s="1"/>
    </row>
    <row r="396" spans="1:11" x14ac:dyDescent="0.45">
      <c r="A396" s="2">
        <f t="shared" si="33"/>
        <v>394</v>
      </c>
      <c r="B396" s="2">
        <f t="shared" si="32"/>
        <v>25.666666666667005</v>
      </c>
      <c r="C396" s="2">
        <f t="shared" si="31"/>
        <v>68.666666666665989</v>
      </c>
      <c r="D396" s="2">
        <v>0</v>
      </c>
      <c r="E396" s="7">
        <f t="shared" si="34"/>
        <v>0.25438562489611627</v>
      </c>
      <c r="F396" s="7">
        <f t="shared" si="36"/>
        <v>-1.0048872227059746E-3</v>
      </c>
      <c r="G396" s="2">
        <f t="shared" si="35"/>
        <v>0.21250075772668298</v>
      </c>
      <c r="H396" s="2">
        <f>(SystemConstants!$B$6*F396)+(0.5*SystemConstants!$B$7*SystemConstants!$B$5*Data!E396^2)+(0.5*SystemConstants!$B$7*SystemConstants!$B$2*SystemConstants!$B$3*Data!E396^2)</f>
        <v>37.012020591128405</v>
      </c>
      <c r="I396" s="1"/>
      <c r="J396" s="1"/>
      <c r="K396" s="1"/>
    </row>
    <row r="397" spans="1:11" x14ac:dyDescent="0.45">
      <c r="A397" s="2">
        <f t="shared" si="33"/>
        <v>395</v>
      </c>
      <c r="B397" s="2">
        <f t="shared" si="32"/>
        <v>25.833333333333673</v>
      </c>
      <c r="C397" s="2">
        <f t="shared" si="31"/>
        <v>68.333333333332661</v>
      </c>
      <c r="D397" s="2">
        <v>0</v>
      </c>
      <c r="E397" s="7">
        <f t="shared" si="34"/>
        <v>0.2533702400621678</v>
      </c>
      <c r="F397" s="7">
        <f t="shared" si="36"/>
        <v>-1.0153848339484739E-3</v>
      </c>
      <c r="G397" s="2">
        <f t="shared" si="35"/>
        <v>0.21397774500293815</v>
      </c>
      <c r="H397" s="2">
        <f>(SystemConstants!$B$6*F397)+(0.5*SystemConstants!$B$7*SystemConstants!$B$5*Data!E397^2)+(0.5*SystemConstants!$B$7*SystemConstants!$B$2*SystemConstants!$B$3*Data!E397^2)</f>
        <v>36.717123468536663</v>
      </c>
      <c r="I397" s="1"/>
      <c r="J397" s="1"/>
      <c r="K397" s="1"/>
    </row>
    <row r="398" spans="1:11" x14ac:dyDescent="0.45">
      <c r="A398" s="2">
        <f t="shared" si="33"/>
        <v>396</v>
      </c>
      <c r="B398" s="2">
        <f t="shared" si="32"/>
        <v>26.000000000000341</v>
      </c>
      <c r="C398" s="2">
        <f t="shared" si="31"/>
        <v>67.999999999999318</v>
      </c>
      <c r="D398" s="2">
        <v>0</v>
      </c>
      <c r="E398" s="7">
        <f t="shared" si="34"/>
        <v>0.25234425367187896</v>
      </c>
      <c r="F398" s="7">
        <f t="shared" si="36"/>
        <v>-1.0259863902888355E-3</v>
      </c>
      <c r="G398" s="2">
        <f t="shared" si="35"/>
        <v>0.21546415327378188</v>
      </c>
      <c r="H398" s="2">
        <f>(SystemConstants!$B$6*F398)+(0.5*SystemConstants!$B$7*SystemConstants!$B$5*Data!E398^2)+(0.5*SystemConstants!$B$7*SystemConstants!$B$2*SystemConstants!$B$3*Data!E398^2)</f>
        <v>36.420345287443538</v>
      </c>
      <c r="I398" s="1"/>
      <c r="J398" s="1"/>
      <c r="K398" s="1"/>
    </row>
    <row r="399" spans="1:11" x14ac:dyDescent="0.45">
      <c r="A399" s="2">
        <f t="shared" si="33"/>
        <v>397</v>
      </c>
      <c r="B399" s="2">
        <f t="shared" si="32"/>
        <v>26.166666666667009</v>
      </c>
      <c r="C399" s="2">
        <f t="shared" si="31"/>
        <v>67.666666666665975</v>
      </c>
      <c r="D399" s="2">
        <v>0</v>
      </c>
      <c r="E399" s="7">
        <f t="shared" si="34"/>
        <v>0.25130756145661337</v>
      </c>
      <c r="F399" s="7">
        <f t="shared" si="36"/>
        <v>-1.0366922152655889E-3</v>
      </c>
      <c r="G399" s="2">
        <f t="shared" si="35"/>
        <v>0.21695994570383639</v>
      </c>
      <c r="H399" s="2">
        <f>(SystemConstants!$B$6*F399)+(0.5*SystemConstants!$B$7*SystemConstants!$B$5*Data!E399^2)+(0.5*SystemConstants!$B$7*SystemConstants!$B$2*SystemConstants!$B$3*Data!E399^2)</f>
        <v>36.121693400313312</v>
      </c>
      <c r="I399" s="1"/>
      <c r="J399" s="1"/>
      <c r="K399" s="1"/>
    </row>
    <row r="400" spans="1:11" x14ac:dyDescent="0.45">
      <c r="A400" s="2">
        <f t="shared" si="33"/>
        <v>398</v>
      </c>
      <c r="B400" s="2">
        <f t="shared" si="32"/>
        <v>26.333333333333677</v>
      </c>
      <c r="C400" s="2">
        <f t="shared" si="31"/>
        <v>67.333333333332646</v>
      </c>
      <c r="D400" s="2">
        <v>0</v>
      </c>
      <c r="E400" s="7">
        <f t="shared" si="34"/>
        <v>0.25026005885537472</v>
      </c>
      <c r="F400" s="7">
        <f t="shared" si="36"/>
        <v>-1.0475026012386479E-3</v>
      </c>
      <c r="G400" s="2">
        <f t="shared" si="35"/>
        <v>0.21846508145378726</v>
      </c>
      <c r="H400" s="2">
        <f>(SystemConstants!$B$6*F400)+(0.5*SystemConstants!$B$7*SystemConstants!$B$5*Data!E400^2)+(0.5*SystemConstants!$B$7*SystemConstants!$B$2*SystemConstants!$B$3*Data!E400^2)</f>
        <v>35.82117596134681</v>
      </c>
      <c r="I400" s="1"/>
      <c r="J400" s="1"/>
      <c r="K400" s="1"/>
    </row>
    <row r="401" spans="1:11" x14ac:dyDescent="0.45">
      <c r="A401" s="2">
        <f t="shared" si="33"/>
        <v>399</v>
      </c>
      <c r="B401" s="2">
        <f t="shared" si="32"/>
        <v>26.500000000000345</v>
      </c>
      <c r="C401" s="2">
        <f t="shared" si="31"/>
        <v>66.999999999999318</v>
      </c>
      <c r="D401" s="2">
        <v>0</v>
      </c>
      <c r="E401" s="7">
        <f t="shared" si="34"/>
        <v>0.24920164104736386</v>
      </c>
      <c r="F401" s="7">
        <f t="shared" si="36"/>
        <v>-1.0584178080108586E-3</v>
      </c>
      <c r="G401" s="2">
        <f t="shared" si="35"/>
        <v>0.21997951554384848</v>
      </c>
      <c r="H401" s="2">
        <f>(SystemConstants!$B$6*F401)+(0.5*SystemConstants!$B$7*SystemConstants!$B$5*Data!E401^2)+(0.5*SystemConstants!$B$7*SystemConstants!$B$2*SystemConstants!$B$3*Data!E401^2)</f>
        <v>35.5188019503654</v>
      </c>
      <c r="I401" s="1"/>
      <c r="J401" s="1"/>
      <c r="K401" s="1"/>
    </row>
    <row r="402" spans="1:11" x14ac:dyDescent="0.45">
      <c r="A402" s="2">
        <f t="shared" si="33"/>
        <v>400</v>
      </c>
      <c r="B402" s="2">
        <f t="shared" si="32"/>
        <v>26.666666666667012</v>
      </c>
      <c r="C402" s="2">
        <f t="shared" si="31"/>
        <v>66.666666666665975</v>
      </c>
      <c r="D402" s="2">
        <v>0</v>
      </c>
      <c r="E402" s="7">
        <f t="shared" si="34"/>
        <v>0.24813220298578642</v>
      </c>
      <c r="F402" s="7">
        <f t="shared" si="36"/>
        <v>-1.0694380615774435E-3</v>
      </c>
      <c r="G402" s="2">
        <f t="shared" si="35"/>
        <v>0.22150319873208729</v>
      </c>
      <c r="H402" s="2">
        <f>(SystemConstants!$B$6*F402)+(0.5*SystemConstants!$B$7*SystemConstants!$B$5*Data!E402^2)+(0.5*SystemConstants!$B$7*SystemConstants!$B$2*SystemConstants!$B$3*Data!E402^2)</f>
        <v>35.214581196990352</v>
      </c>
      <c r="I402" s="1"/>
      <c r="J402" s="1"/>
      <c r="K402" s="1"/>
    </row>
    <row r="403" spans="1:11" x14ac:dyDescent="0.45">
      <c r="A403" s="2">
        <f t="shared" si="33"/>
        <v>401</v>
      </c>
      <c r="B403" s="2">
        <f t="shared" si="32"/>
        <v>26.83333333333368</v>
      </c>
      <c r="C403" s="2">
        <f t="shared" si="31"/>
        <v>66.333333333332632</v>
      </c>
      <c r="D403" s="2">
        <v>0</v>
      </c>
      <c r="E403" s="7">
        <f t="shared" si="34"/>
        <v>0.24705163943319519</v>
      </c>
      <c r="F403" s="7">
        <f t="shared" si="36"/>
        <v>-1.0805635525912294E-3</v>
      </c>
      <c r="G403" s="2">
        <f t="shared" si="35"/>
        <v>0.22303607740826983</v>
      </c>
      <c r="H403" s="2">
        <f>(SystemConstants!$B$6*F403)+(0.5*SystemConstants!$B$7*SystemConstants!$B$5*Data!E403^2)+(0.5*SystemConstants!$B$7*SystemConstants!$B$2*SystemConstants!$B$3*Data!E403^2)</f>
        <v>34.908524405180337</v>
      </c>
      <c r="I403" s="1"/>
      <c r="J403" s="1"/>
      <c r="K403" s="1"/>
    </row>
    <row r="404" spans="1:11" x14ac:dyDescent="0.45">
      <c r="A404" s="2">
        <f t="shared" si="33"/>
        <v>402</v>
      </c>
      <c r="B404" s="2">
        <f t="shared" si="32"/>
        <v>27.000000000000348</v>
      </c>
      <c r="C404" s="2">
        <f t="shared" si="31"/>
        <v>65.999999999999304</v>
      </c>
      <c r="D404" s="2">
        <v>0</v>
      </c>
      <c r="E404" s="7">
        <f t="shared" si="34"/>
        <v>0.24595984499858048</v>
      </c>
      <c r="F404" s="7">
        <f t="shared" si="36"/>
        <v>-1.0917944346147124E-3</v>
      </c>
      <c r="G404" s="2">
        <f t="shared" si="35"/>
        <v>0.22457809345250473</v>
      </c>
      <c r="H404" s="2">
        <f>(SystemConstants!$B$6*F404)+(0.5*SystemConstants!$B$7*SystemConstants!$B$5*Data!E404^2)+(0.5*SystemConstants!$B$7*SystemConstants!$B$2*SystemConstants!$B$3*Data!E404^2)</f>
        <v>34.6006431781652</v>
      </c>
      <c r="I404" s="1"/>
      <c r="J404" s="1"/>
      <c r="K404" s="1"/>
    </row>
    <row r="405" spans="1:11" x14ac:dyDescent="0.45">
      <c r="A405" s="2">
        <f t="shared" si="33"/>
        <v>403</v>
      </c>
      <c r="B405" s="2">
        <f t="shared" si="32"/>
        <v>27.166666666667016</v>
      </c>
      <c r="C405" s="2">
        <f t="shared" si="31"/>
        <v>65.666666666665975</v>
      </c>
      <c r="D405" s="2">
        <v>0</v>
      </c>
      <c r="E405" s="7">
        <f t="shared" si="34"/>
        <v>0.24485671417562571</v>
      </c>
      <c r="F405" s="7">
        <f t="shared" si="36"/>
        <v>-1.1031308229547676E-3</v>
      </c>
      <c r="G405" s="2">
        <f t="shared" si="35"/>
        <v>0.2261291841118247</v>
      </c>
      <c r="H405" s="2">
        <f>(SystemConstants!$B$6*F405)+(0.5*SystemConstants!$B$7*SystemConstants!$B$5*Data!E405^2)+(0.5*SystemConstants!$B$7*SystemConstants!$B$2*SystemConstants!$B$3*Data!E405^2)</f>
        <v>34.29095004358804</v>
      </c>
      <c r="I405" s="1"/>
      <c r="J405" s="1"/>
      <c r="K405" s="1"/>
    </row>
    <row r="406" spans="1:11" x14ac:dyDescent="0.45">
      <c r="A406" s="2">
        <f t="shared" si="33"/>
        <v>404</v>
      </c>
      <c r="B406" s="2">
        <f t="shared" si="32"/>
        <v>27.333333333333684</v>
      </c>
      <c r="C406" s="2">
        <f t="shared" si="31"/>
        <v>65.333333333332632</v>
      </c>
      <c r="D406" s="2">
        <v>0</v>
      </c>
      <c r="E406" s="7">
        <f t="shared" si="34"/>
        <v>0.243742141382711</v>
      </c>
      <c r="F406" s="7">
        <f t="shared" si="36"/>
        <v>-1.1145727929147142E-3</v>
      </c>
      <c r="G406" s="2">
        <f t="shared" si="35"/>
        <v>0.2276892818860429</v>
      </c>
      <c r="H406" s="2">
        <f>(SystemConstants!$B$6*F406)+(0.5*SystemConstants!$B$7*SystemConstants!$B$5*Data!E406^2)+(0.5*SystemConstants!$B$7*SystemConstants!$B$2*SystemConstants!$B$3*Data!E406^2)</f>
        <v>33.979458478999547</v>
      </c>
      <c r="I406" s="1"/>
      <c r="J406" s="1"/>
      <c r="K406" s="1"/>
    </row>
    <row r="407" spans="1:11" x14ac:dyDescent="0.45">
      <c r="A407" s="2">
        <f t="shared" si="33"/>
        <v>405</v>
      </c>
      <c r="B407" s="2">
        <f t="shared" si="32"/>
        <v>27.500000000000352</v>
      </c>
      <c r="C407" s="2">
        <f t="shared" si="31"/>
        <v>64.999999999999289</v>
      </c>
      <c r="D407" s="2">
        <v>0</v>
      </c>
      <c r="E407" s="7">
        <f t="shared" si="34"/>
        <v>0.24261602100442303</v>
      </c>
      <c r="F407" s="7">
        <f t="shared" si="36"/>
        <v>-1.1261203782879647E-3</v>
      </c>
      <c r="G407" s="2">
        <f t="shared" si="35"/>
        <v>0.22925831437478097</v>
      </c>
      <c r="H407" s="2">
        <f>(SystemConstants!$B$6*F407)+(0.5*SystemConstants!$B$7*SystemConstants!$B$5*Data!E407^2)+(0.5*SystemConstants!$B$7*SystemConstants!$B$2*SystemConstants!$B$3*Data!E407^2)</f>
        <v>33.666182937610692</v>
      </c>
      <c r="I407" s="1"/>
      <c r="J407" s="1"/>
      <c r="K407" s="1"/>
    </row>
    <row r="408" spans="1:11" x14ac:dyDescent="0.45">
      <c r="A408" s="2">
        <f t="shared" si="33"/>
        <v>406</v>
      </c>
      <c r="B408" s="2">
        <f t="shared" si="32"/>
        <v>27.66666666666702</v>
      </c>
      <c r="C408" s="2">
        <f t="shared" si="31"/>
        <v>64.666666666665961</v>
      </c>
      <c r="D408" s="2">
        <v>0</v>
      </c>
      <c r="E408" s="7">
        <f t="shared" si="34"/>
        <v>0.24147824743486979</v>
      </c>
      <c r="F408" s="7">
        <f t="shared" si="36"/>
        <v>-1.1377735695532465E-3</v>
      </c>
      <c r="G408" s="2">
        <f t="shared" si="35"/>
        <v>0.23083620417427908</v>
      </c>
      <c r="H408" s="2">
        <f>(SystemConstants!$B$6*F408)+(0.5*SystemConstants!$B$7*SystemConstants!$B$5*Data!E408^2)+(0.5*SystemConstants!$B$7*SystemConstants!$B$2*SystemConstants!$B$3*Data!E408^2)</f>
        <v>33.351138874362661</v>
      </c>
      <c r="I408" s="1"/>
      <c r="J408" s="1"/>
      <c r="K408" s="1"/>
    </row>
    <row r="409" spans="1:11" x14ac:dyDescent="0.45">
      <c r="A409" s="2">
        <f t="shared" si="33"/>
        <v>407</v>
      </c>
      <c r="B409" s="2">
        <f t="shared" si="32"/>
        <v>27.833333333333687</v>
      </c>
      <c r="C409" s="2">
        <f t="shared" si="31"/>
        <v>64.333333333332632</v>
      </c>
      <c r="D409" s="2">
        <v>0</v>
      </c>
      <c r="E409" s="7">
        <f t="shared" si="34"/>
        <v>0.24032871512243048</v>
      </c>
      <c r="F409" s="7">
        <f t="shared" si="36"/>
        <v>-1.1495323124393053E-3</v>
      </c>
      <c r="G409" s="2">
        <f t="shared" si="35"/>
        <v>0.23242286872159959</v>
      </c>
      <c r="H409" s="2">
        <f>(SystemConstants!$B$6*F409)+(0.5*SystemConstants!$B$7*SystemConstants!$B$5*Data!E409^2)+(0.5*SystemConstants!$B$7*SystemConstants!$B$2*SystemConstants!$B$3*Data!E409^2)</f>
        <v>33.034342772183479</v>
      </c>
      <c r="I409" s="1"/>
      <c r="J409" s="1"/>
      <c r="K409" s="1"/>
    </row>
    <row r="410" spans="1:11" x14ac:dyDescent="0.45">
      <c r="A410" s="2">
        <f t="shared" si="33"/>
        <v>408</v>
      </c>
      <c r="B410" s="2">
        <f t="shared" si="32"/>
        <v>28.000000000000355</v>
      </c>
      <c r="C410" s="2">
        <f t="shared" si="31"/>
        <v>63.999999999999289</v>
      </c>
      <c r="D410" s="2">
        <v>0</v>
      </c>
      <c r="E410" s="7">
        <f t="shared" si="34"/>
        <v>0.23916731861628193</v>
      </c>
      <c r="F410" s="7">
        <f t="shared" si="36"/>
        <v>-1.1613965061485487E-3</v>
      </c>
      <c r="G410" s="2">
        <f t="shared" si="35"/>
        <v>0.23401822017407148</v>
      </c>
      <c r="H410" s="2">
        <f>(SystemConstants!$B$6*F410)+(0.5*SystemConstants!$B$7*SystemConstants!$B$5*Data!E410^2)+(0.5*SystemConstants!$B$7*SystemConstants!$B$2*SystemConstants!$B$3*Data!E410^2)</f>
        <v>32.715812168499966</v>
      </c>
      <c r="I410" s="1"/>
      <c r="J410" s="1"/>
      <c r="K410" s="1"/>
    </row>
    <row r="411" spans="1:11" x14ac:dyDescent="0.45">
      <c r="A411" s="2">
        <f t="shared" si="33"/>
        <v>409</v>
      </c>
      <c r="B411" s="2">
        <f t="shared" si="32"/>
        <v>28.166666666667023</v>
      </c>
      <c r="C411" s="2">
        <f t="shared" si="31"/>
        <v>63.666666666665954</v>
      </c>
      <c r="D411" s="2">
        <v>0</v>
      </c>
      <c r="E411" s="7">
        <f t="shared" si="34"/>
        <v>0.23799395261471545</v>
      </c>
      <c r="F411" s="7">
        <f t="shared" si="36"/>
        <v>-1.1733660015664782E-3</v>
      </c>
      <c r="G411" s="2">
        <f t="shared" si="35"/>
        <v>0.23562216527466362</v>
      </c>
      <c r="H411" s="2">
        <f>(SystemConstants!$B$6*F411)+(0.5*SystemConstants!$B$7*SystemConstants!$B$5*Data!E411^2)+(0.5*SystemConstants!$B$7*SystemConstants!$B$2*SystemConstants!$B$3*Data!E411^2)</f>
        <v>32.395565681978937</v>
      </c>
      <c r="I411" s="1"/>
      <c r="J411" s="1"/>
      <c r="K411" s="1"/>
    </row>
    <row r="412" spans="1:11" x14ac:dyDescent="0.45">
      <c r="A412" s="2">
        <f t="shared" si="33"/>
        <v>410</v>
      </c>
      <c r="B412" s="2">
        <f t="shared" si="32"/>
        <v>28.333333333333691</v>
      </c>
      <c r="C412" s="2">
        <f t="shared" si="31"/>
        <v>63.333333333332618</v>
      </c>
      <c r="D412" s="2">
        <v>0</v>
      </c>
      <c r="E412" s="7">
        <f t="shared" si="34"/>
        <v>0.23680851201504538</v>
      </c>
      <c r="F412" s="7">
        <f t="shared" si="36"/>
        <v>-1.1854405996700734E-3</v>
      </c>
      <c r="G412" s="2">
        <f t="shared" si="35"/>
        <v>0.2372346052285158</v>
      </c>
      <c r="H412" s="2">
        <f>(SystemConstants!$B$6*F412)+(0.5*SystemConstants!$B$7*SystemConstants!$B$5*Data!E412^2)+(0.5*SystemConstants!$B$7*SystemConstants!$B$2*SystemConstants!$B$3*Data!E412^2)</f>
        <v>32.07362303941273</v>
      </c>
      <c r="I412" s="1"/>
      <c r="J412" s="1"/>
      <c r="K412" s="1"/>
    </row>
    <row r="413" spans="1:11" x14ac:dyDescent="0.45">
      <c r="A413" s="2">
        <f t="shared" si="33"/>
        <v>411</v>
      </c>
      <c r="B413" s="2">
        <f t="shared" si="32"/>
        <v>28.500000000000359</v>
      </c>
      <c r="C413" s="2">
        <f t="shared" si="31"/>
        <v>62.999999999999282</v>
      </c>
      <c r="D413" s="2">
        <v>0</v>
      </c>
      <c r="E413" s="7">
        <f t="shared" si="34"/>
        <v>0.23561089196550711</v>
      </c>
      <c r="F413" s="7">
        <f t="shared" si="36"/>
        <v>-1.1976200495382727E-3</v>
      </c>
      <c r="G413" s="2">
        <f t="shared" si="35"/>
        <v>0.2388554355320156</v>
      </c>
      <c r="H413" s="2">
        <f>(SystemConstants!$B$6*F413)+(0.5*SystemConstants!$B$7*SystemConstants!$B$5*Data!E413^2)+(0.5*SystemConstants!$B$7*SystemConstants!$B$2*SystemConstants!$B$3*Data!E413^2)</f>
        <v>31.750005102827238</v>
      </c>
      <c r="I413" s="1"/>
      <c r="J413" s="1"/>
      <c r="K413" s="1"/>
    </row>
    <row r="414" spans="1:11" x14ac:dyDescent="0.45">
      <c r="A414" s="2">
        <f t="shared" si="33"/>
        <v>412</v>
      </c>
      <c r="B414" s="2">
        <f t="shared" si="32"/>
        <v>28.666666666667027</v>
      </c>
      <c r="C414" s="2">
        <f t="shared" si="31"/>
        <v>62.666666666665947</v>
      </c>
      <c r="D414" s="2">
        <v>0</v>
      </c>
      <c r="E414" s="7">
        <f t="shared" si="34"/>
        <v>0.23440098791870412</v>
      </c>
      <c r="F414" s="7">
        <f t="shared" si="36"/>
        <v>-1.2099040468029898E-3</v>
      </c>
      <c r="G414" s="2">
        <f t="shared" si="35"/>
        <v>0.24048454587801796</v>
      </c>
      <c r="H414" s="2">
        <f>(SystemConstants!$B$6*F414)+(0.5*SystemConstants!$B$7*SystemConstants!$B$5*Data!E414^2)+(0.5*SystemConstants!$B$7*SystemConstants!$B$2*SystemConstants!$B$3*Data!E414^2)</f>
        <v>31.424733896658672</v>
      </c>
      <c r="I414" s="1"/>
      <c r="J414" s="1"/>
      <c r="K414" s="1"/>
    </row>
    <row r="415" spans="1:11" x14ac:dyDescent="0.45">
      <c r="A415" s="2">
        <f t="shared" si="33"/>
        <v>413</v>
      </c>
      <c r="B415" s="2">
        <f t="shared" si="32"/>
        <v>28.833333333333695</v>
      </c>
      <c r="C415" s="2">
        <f t="shared" si="31"/>
        <v>62.333333333332611</v>
      </c>
      <c r="D415" s="2">
        <v>0</v>
      </c>
      <c r="E415" s="7">
        <f t="shared" si="34"/>
        <v>0.233178695687144</v>
      </c>
      <c r="F415" s="7">
        <f t="shared" si="36"/>
        <v>-1.2222922315601181E-3</v>
      </c>
      <c r="G415" s="2">
        <f t="shared" si="35"/>
        <v>0.24212181999073618</v>
      </c>
      <c r="H415" s="2">
        <f>(SystemConstants!$B$6*F415)+(0.5*SystemConstants!$B$7*SystemConstants!$B$5*Data!E415^2)+(0.5*SystemConstants!$B$7*SystemConstants!$B$2*SystemConstants!$B$3*Data!E415^2)</f>
        <v>31.097832635112766</v>
      </c>
      <c r="I415" s="1"/>
      <c r="J415" s="1"/>
      <c r="K415" s="1"/>
    </row>
    <row r="416" spans="1:11" x14ac:dyDescent="0.45">
      <c r="A416" s="2">
        <f t="shared" si="33"/>
        <v>414</v>
      </c>
      <c r="B416" s="2">
        <f t="shared" si="32"/>
        <v>29.000000000000362</v>
      </c>
      <c r="C416" s="2">
        <f t="shared" si="31"/>
        <v>61.999999999999275</v>
      </c>
      <c r="D416" s="2">
        <v>0</v>
      </c>
      <c r="E416" s="7">
        <f t="shared" si="34"/>
        <v>0.23194391150039451</v>
      </c>
      <c r="F416" s="7">
        <f t="shared" si="36"/>
        <v>-1.2347841867494935E-3</v>
      </c>
      <c r="G416" s="2">
        <f t="shared" si="35"/>
        <v>0.24376713549948656</v>
      </c>
      <c r="H416" s="2">
        <f>(SystemConstants!$B$6*F416)+(0.5*SystemConstants!$B$7*SystemConstants!$B$5*Data!E416^2)+(0.5*SystemConstants!$B$7*SystemConstants!$B$2*SystemConstants!$B$3*Data!E416^2)</f>
        <v>30.769325749543199</v>
      </c>
      <c r="I416" s="1"/>
      <c r="J416" s="1"/>
      <c r="K416" s="1"/>
    </row>
    <row r="417" spans="1:11" x14ac:dyDescent="0.45">
      <c r="A417" s="2">
        <f t="shared" si="33"/>
        <v>415</v>
      </c>
      <c r="B417" s="2">
        <f t="shared" si="32"/>
        <v>29.16666666666703</v>
      </c>
      <c r="C417" s="2">
        <f t="shared" si="31"/>
        <v>61.66666666666594</v>
      </c>
      <c r="D417" s="2">
        <v>0</v>
      </c>
      <c r="E417" s="7">
        <f t="shared" si="34"/>
        <v>0.23069653206437124</v>
      </c>
      <c r="F417" s="7">
        <f t="shared" si="36"/>
        <v>-1.247379436023266E-3</v>
      </c>
      <c r="G417" s="2">
        <f t="shared" si="35"/>
        <v>0.24542036381413807</v>
      </c>
      <c r="H417" s="2">
        <f>(SystemConstants!$B$6*F417)+(0.5*SystemConstants!$B$7*SystemConstants!$B$5*Data!E417^2)+(0.5*SystemConstants!$B$7*SystemConstants!$B$2*SystemConstants!$B$3*Data!E417^2)</f>
        <v>30.439238915950959</v>
      </c>
      <c r="I417" s="1"/>
      <c r="J417" s="1"/>
      <c r="K417" s="1"/>
    </row>
    <row r="418" spans="1:11" x14ac:dyDescent="0.45">
      <c r="A418" s="2">
        <f t="shared" si="33"/>
        <v>416</v>
      </c>
      <c r="B418" s="2">
        <f t="shared" si="32"/>
        <v>29.333333333333698</v>
      </c>
      <c r="C418" s="2">
        <f t="shared" si="31"/>
        <v>61.333333333332604</v>
      </c>
      <c r="D418" s="2">
        <v>0</v>
      </c>
      <c r="E418" s="7">
        <f t="shared" si="34"/>
        <v>0.22943645462223117</v>
      </c>
      <c r="F418" s="7">
        <f t="shared" si="36"/>
        <v>-1.2600774421400729E-3</v>
      </c>
      <c r="G418" s="2">
        <f t="shared" si="35"/>
        <v>0.24708136995181004</v>
      </c>
      <c r="H418" s="2">
        <f>(SystemConstants!$B$6*F418)+(0.5*SystemConstants!$B$7*SystemConstants!$B$5*Data!E418^2)+(0.5*SystemConstants!$B$7*SystemConstants!$B$2*SystemConstants!$B$3*Data!E418^2)</f>
        <v>30.107599082425175</v>
      </c>
      <c r="I418" s="1"/>
      <c r="J418" s="1"/>
      <c r="K418" s="1"/>
    </row>
    <row r="419" spans="1:11" x14ac:dyDescent="0.45">
      <c r="A419" s="2">
        <f t="shared" si="33"/>
        <v>417</v>
      </c>
      <c r="B419" s="2">
        <f t="shared" si="32"/>
        <v>29.500000000000366</v>
      </c>
      <c r="C419" s="2">
        <f t="shared" si="31"/>
        <v>60.999999999999268</v>
      </c>
      <c r="D419" s="2">
        <v>0</v>
      </c>
      <c r="E419" s="7">
        <f t="shared" si="34"/>
        <v>0.2281635770175825</v>
      </c>
      <c r="F419" s="7">
        <f t="shared" si="36"/>
        <v>-1.2728776046486701E-3</v>
      </c>
      <c r="G419" s="2">
        <f t="shared" si="35"/>
        <v>0.24875001242845357</v>
      </c>
      <c r="H419" s="2">
        <f>(SystemConstants!$B$6*F419)+(0.5*SystemConstants!$B$7*SystemConstants!$B$5*Data!E419^2)+(0.5*SystemConstants!$B$7*SystemConstants!$B$2*SystemConstants!$B$3*Data!E419^2)</f>
        <v>29.774434496675788</v>
      </c>
      <c r="I419" s="1"/>
      <c r="J419" s="1"/>
      <c r="K419" s="1"/>
    </row>
    <row r="420" spans="1:11" x14ac:dyDescent="0.45">
      <c r="A420" s="2">
        <f t="shared" si="33"/>
        <v>418</v>
      </c>
      <c r="B420" s="2">
        <f t="shared" si="32"/>
        <v>29.666666666667034</v>
      </c>
      <c r="C420" s="2">
        <f t="shared" si="31"/>
        <v>60.666666666665932</v>
      </c>
      <c r="D420" s="2">
        <v>0</v>
      </c>
      <c r="E420" s="7">
        <f t="shared" si="34"/>
        <v>0.22687779775911565</v>
      </c>
      <c r="F420" s="7">
        <f t="shared" si="36"/>
        <v>-1.2857792584668459E-3</v>
      </c>
      <c r="G420" s="2">
        <f t="shared" si="35"/>
        <v>0.25042614312216405</v>
      </c>
      <c r="H420" s="2">
        <f>(SystemConstants!$B$6*F420)+(0.5*SystemConstants!$B$7*SystemConstants!$B$5*Data!E420^2)+(0.5*SystemConstants!$B$7*SystemConstants!$B$2*SystemConstants!$B$3*Data!E420^2)</f>
        <v>29.439774733379448</v>
      </c>
      <c r="I420" s="1"/>
      <c r="J420" s="1"/>
      <c r="K420" s="1"/>
    </row>
    <row r="421" spans="1:11" x14ac:dyDescent="0.45">
      <c r="A421" s="2">
        <f t="shared" si="33"/>
        <v>419</v>
      </c>
      <c r="B421" s="2">
        <f t="shared" si="32"/>
        <v>29.833333333333702</v>
      </c>
      <c r="C421" s="2">
        <f t="shared" si="31"/>
        <v>60.333333333332597</v>
      </c>
      <c r="D421" s="2">
        <v>0</v>
      </c>
      <c r="E421" s="7">
        <f t="shared" si="34"/>
        <v>0.22557901608780639</v>
      </c>
      <c r="F421" s="7">
        <f t="shared" si="36"/>
        <v>-1.298781671309257E-3</v>
      </c>
      <c r="G421" s="2">
        <f t="shared" si="35"/>
        <v>0.25210960712084501</v>
      </c>
      <c r="H421" s="2">
        <f>(SystemConstants!$B$6*F421)+(0.5*SystemConstants!$B$7*SystemConstants!$B$5*Data!E421^2)+(0.5*SystemConstants!$B$7*SystemConstants!$B$2*SystemConstants!$B$3*Data!E421^2)</f>
        <v>29.103650721600914</v>
      </c>
      <c r="I421" s="1"/>
      <c r="J421" s="1"/>
      <c r="K421" s="1"/>
    </row>
    <row r="422" spans="1:11" x14ac:dyDescent="0.45">
      <c r="A422" s="2">
        <f t="shared" si="33"/>
        <v>420</v>
      </c>
      <c r="B422" s="2">
        <f t="shared" si="32"/>
        <v>30.000000000000369</v>
      </c>
      <c r="C422" s="2">
        <f t="shared" si="31"/>
        <v>59.999999999999261</v>
      </c>
      <c r="D422" s="2">
        <v>0</v>
      </c>
      <c r="E422" s="7">
        <f t="shared" si="34"/>
        <v>0.22426713204561111</v>
      </c>
      <c r="F422" s="7">
        <f t="shared" si="36"/>
        <v>-1.3118840421952882E-3</v>
      </c>
      <c r="G422" s="2">
        <f t="shared" si="35"/>
        <v>0.25380024258531764</v>
      </c>
      <c r="H422" s="2">
        <f>(SystemConstants!$B$6*F422)+(0.5*SystemConstants!$B$7*SystemConstants!$B$5*Data!E422^2)+(0.5*SystemConstants!$B$7*SystemConstants!$B$2*SystemConstants!$B$3*Data!E422^2)</f>
        <v>28.766094771960908</v>
      </c>
      <c r="I422" s="1"/>
      <c r="J422" s="1"/>
      <c r="K422" s="1"/>
    </row>
    <row r="423" spans="1:11" x14ac:dyDescent="0.45">
      <c r="A423" s="2">
        <f t="shared" si="33"/>
        <v>421</v>
      </c>
      <c r="B423" s="2">
        <f t="shared" si="32"/>
        <v>30.166666666667037</v>
      </c>
      <c r="C423" s="2">
        <f t="shared" si="31"/>
        <v>59.666666666665925</v>
      </c>
      <c r="D423" s="2">
        <v>0</v>
      </c>
      <c r="E423" s="7">
        <f t="shared" si="34"/>
        <v>0.22294204654630789</v>
      </c>
      <c r="F423" s="7">
        <f t="shared" si="36"/>
        <v>-1.3250854993032135E-3</v>
      </c>
      <c r="G423" s="2">
        <f t="shared" si="35"/>
        <v>0.25549788064251699</v>
      </c>
      <c r="H423" s="2">
        <f>(SystemConstants!$B$6*F423)+(0.5*SystemConstants!$B$7*SystemConstants!$B$5*Data!E423^2)+(0.5*SystemConstants!$B$7*SystemConstants!$B$2*SystemConstants!$B$3*Data!E423^2)</f>
        <v>28.427140603679053</v>
      </c>
      <c r="I423" s="1"/>
      <c r="J423" s="1"/>
      <c r="K423" s="1"/>
    </row>
    <row r="424" spans="1:11" x14ac:dyDescent="0.45">
      <c r="A424" s="2">
        <f t="shared" si="33"/>
        <v>422</v>
      </c>
      <c r="B424" s="2">
        <f t="shared" si="32"/>
        <v>30.333333333333705</v>
      </c>
      <c r="C424" s="2">
        <f t="shared" si="31"/>
        <v>59.33333333333259</v>
      </c>
      <c r="D424" s="2">
        <v>0</v>
      </c>
      <c r="E424" s="7">
        <f t="shared" si="34"/>
        <v>0.2216036614485688</v>
      </c>
      <c r="F424" s="7">
        <f t="shared" si="36"/>
        <v>-1.3383850977390921E-3</v>
      </c>
      <c r="G424" s="2">
        <f t="shared" si="35"/>
        <v>0.25720234520972246</v>
      </c>
      <c r="H424" s="2">
        <f>(SystemConstants!$B$6*F424)+(0.5*SystemConstants!$B$7*SystemConstants!$B$5*Data!E424^2)+(0.5*SystemConstants!$B$7*SystemConstants!$B$2*SystemConstants!$B$3*Data!E424^2)</f>
        <v>28.086823371465009</v>
      </c>
      <c r="I424" s="1"/>
      <c r="J424" s="1"/>
      <c r="K424" s="1"/>
    </row>
    <row r="425" spans="1:11" x14ac:dyDescent="0.45">
      <c r="A425" s="2">
        <f t="shared" si="33"/>
        <v>423</v>
      </c>
      <c r="B425" s="2">
        <f t="shared" si="32"/>
        <v>30.500000000000373</v>
      </c>
      <c r="C425" s="2">
        <f t="shared" si="31"/>
        <v>58.999999999999254</v>
      </c>
      <c r="D425" s="2">
        <v>0</v>
      </c>
      <c r="E425" s="7">
        <f t="shared" si="34"/>
        <v>0.22025187963063786</v>
      </c>
      <c r="F425" s="7">
        <f t="shared" si="36"/>
        <v>-1.3517818179309415E-3</v>
      </c>
      <c r="G425" s="2">
        <f t="shared" si="35"/>
        <v>0.25891345288660955</v>
      </c>
      <c r="H425" s="2">
        <f>(SystemConstants!$B$6*F425)+(0.5*SystemConstants!$B$7*SystemConstants!$B$5*Data!E425^2)+(0.5*SystemConstants!$B$7*SystemConstants!$B$2*SystemConstants!$B$3*Data!E425^2)</f>
        <v>27.745179692049419</v>
      </c>
      <c r="I425" s="1"/>
      <c r="J425" s="1"/>
      <c r="K425" s="1"/>
    </row>
    <row r="426" spans="1:11" x14ac:dyDescent="0.45">
      <c r="A426" s="2">
        <f t="shared" si="33"/>
        <v>424</v>
      </c>
      <c r="B426" s="2">
        <f t="shared" si="32"/>
        <v>30.666666666667041</v>
      </c>
      <c r="C426" s="2">
        <f t="shared" si="31"/>
        <v>58.666666666665918</v>
      </c>
      <c r="D426" s="2">
        <v>0</v>
      </c>
      <c r="E426" s="7">
        <f t="shared" si="34"/>
        <v>0.21888660506731128</v>
      </c>
      <c r="F426" s="7">
        <f t="shared" si="36"/>
        <v>-1.3652745633265795E-3</v>
      </c>
      <c r="G426" s="2">
        <f t="shared" si="35"/>
        <v>0.26063101282793832</v>
      </c>
      <c r="H426" s="2">
        <f>(SystemConstants!$B$6*F426)+(0.5*SystemConstants!$B$7*SystemConstants!$B$5*Data!E426^2)+(0.5*SystemConstants!$B$7*SystemConstants!$B$2*SystemConstants!$B$3*Data!E426^2)</f>
        <v>27.402247670485799</v>
      </c>
      <c r="I426" s="1"/>
      <c r="J426" s="1"/>
      <c r="K426" s="1"/>
    </row>
    <row r="427" spans="1:11" x14ac:dyDescent="0.45">
      <c r="A427" s="2">
        <f t="shared" si="33"/>
        <v>425</v>
      </c>
      <c r="B427" s="2">
        <f t="shared" si="32"/>
        <v>30.833333333333709</v>
      </c>
      <c r="C427" s="2">
        <f t="shared" si="31"/>
        <v>58.333333333332583</v>
      </c>
      <c r="D427" s="2">
        <v>0</v>
      </c>
      <c r="E427" s="7">
        <f t="shared" si="34"/>
        <v>0.21750774290896402</v>
      </c>
      <c r="F427" s="7">
        <f t="shared" si="36"/>
        <v>-1.3788621583472604E-3</v>
      </c>
      <c r="G427" s="2">
        <f t="shared" si="35"/>
        <v>0.26235482659913134</v>
      </c>
      <c r="H427" s="2">
        <f>(SystemConstants!$B$6*F427)+(0.5*SystemConstants!$B$7*SystemConstants!$B$5*Data!E427^2)+(0.5*SystemConstants!$B$7*SystemConstants!$B$2*SystemConstants!$B$3*Data!E427^2)</f>
        <v>27.058066926105102</v>
      </c>
      <c r="I427" s="1"/>
      <c r="J427" s="1"/>
      <c r="K427" s="1"/>
    </row>
    <row r="428" spans="1:11" x14ac:dyDescent="0.45">
      <c r="A428" s="2">
        <f t="shared" si="33"/>
        <v>426</v>
      </c>
      <c r="B428" s="2">
        <f t="shared" si="32"/>
        <v>31.000000000000377</v>
      </c>
      <c r="C428" s="2">
        <f t="shared" ref="C428:C491" si="37">-2*B428+120</f>
        <v>57.999999999999247</v>
      </c>
      <c r="D428" s="2">
        <v>0</v>
      </c>
      <c r="E428" s="7">
        <f t="shared" si="34"/>
        <v>0.2161151995623527</v>
      </c>
      <c r="F428" s="7">
        <f t="shared" si="36"/>
        <v>-1.3925433466113191E-3</v>
      </c>
      <c r="G428" s="2">
        <f t="shared" si="35"/>
        <v>0.26408468804706625</v>
      </c>
      <c r="H428" s="2">
        <f>(SystemConstants!$B$6*F428)+(0.5*SystemConstants!$B$7*SystemConstants!$B$5*Data!E428^2)+(0.5*SystemConstants!$B$7*SystemConstants!$B$2*SystemConstants!$B$3*Data!E428^2)</f>
        <v>26.712678618004329</v>
      </c>
      <c r="I428" s="1"/>
      <c r="J428" s="1"/>
      <c r="K428" s="1"/>
    </row>
    <row r="429" spans="1:11" x14ac:dyDescent="0.45">
      <c r="A429" s="2">
        <f t="shared" si="33"/>
        <v>427</v>
      </c>
      <c r="B429" s="2">
        <f t="shared" ref="B429:B492" si="38">B428+(30/180)</f>
        <v>31.166666666667044</v>
      </c>
      <c r="C429" s="2">
        <f t="shared" si="37"/>
        <v>57.666666666665911</v>
      </c>
      <c r="D429" s="2">
        <v>0</v>
      </c>
      <c r="E429" s="7">
        <f t="shared" si="34"/>
        <v>0.21470888277374911</v>
      </c>
      <c r="F429" s="7">
        <f t="shared" si="36"/>
        <v>-1.4063167886035899E-3</v>
      </c>
      <c r="G429" s="2">
        <f t="shared" si="35"/>
        <v>0.26582038319081785</v>
      </c>
      <c r="H429" s="2">
        <f>(SystemConstants!$B$6*F429)+(0.5*SystemConstants!$B$7*SystemConstants!$B$5*Data!E429^2)+(0.5*SystemConstants!$B$7*SystemConstants!$B$2*SystemConstants!$B$3*Data!E429^2)</f>
        <v>26.366125470155708</v>
      </c>
      <c r="I429" s="1"/>
      <c r="J429" s="1"/>
      <c r="K429" s="1"/>
    </row>
    <row r="430" spans="1:11" x14ac:dyDescent="0.45">
      <c r="A430" s="2">
        <f t="shared" si="33"/>
        <v>428</v>
      </c>
      <c r="B430" s="2">
        <f t="shared" si="38"/>
        <v>31.333333333333712</v>
      </c>
      <c r="C430" s="2">
        <f t="shared" si="37"/>
        <v>57.333333333332575</v>
      </c>
      <c r="D430" s="2">
        <v>0</v>
      </c>
      <c r="E430" s="7">
        <f t="shared" si="34"/>
        <v>0.21328870171383585</v>
      </c>
      <c r="F430" s="7">
        <f t="shared" si="36"/>
        <v>-1.4201810599132614E-3</v>
      </c>
      <c r="G430" s="2">
        <f t="shared" si="35"/>
        <v>0.26756169007946151</v>
      </c>
      <c r="H430" s="2">
        <f>(SystemConstants!$B$6*F430)+(0.5*SystemConstants!$B$7*SystemConstants!$B$5*Data!E430^2)+(0.5*SystemConstants!$B$7*SystemConstants!$B$2*SystemConstants!$B$3*Data!E430^2)</f>
        <v>26.018451795938859</v>
      </c>
      <c r="I430" s="1"/>
      <c r="J430" s="1"/>
      <c r="K430" s="1"/>
    </row>
    <row r="431" spans="1:11" x14ac:dyDescent="0.45">
      <c r="A431" s="2">
        <f t="shared" si="33"/>
        <v>429</v>
      </c>
      <c r="B431" s="2">
        <f t="shared" si="38"/>
        <v>31.50000000000038</v>
      </c>
      <c r="C431" s="2">
        <f t="shared" si="37"/>
        <v>56.99999999999924</v>
      </c>
      <c r="D431" s="2">
        <v>0</v>
      </c>
      <c r="E431" s="7">
        <f t="shared" si="34"/>
        <v>0.21185456706471939</v>
      </c>
      <c r="F431" s="7">
        <f t="shared" si="36"/>
        <v>-1.4341346491164586E-3</v>
      </c>
      <c r="G431" s="2">
        <f t="shared" si="35"/>
        <v>0.26930837869272545</v>
      </c>
      <c r="H431" s="2">
        <f>(SystemConstants!$B$6*F431)+(0.5*SystemConstants!$B$7*SystemConstants!$B$5*Data!E431^2)+(0.5*SystemConstants!$B$7*SystemConstants!$B$2*SystemConstants!$B$3*Data!E431^2)</f>
        <v>25.669703522130146</v>
      </c>
      <c r="I431" s="1"/>
      <c r="J431" s="1"/>
      <c r="K431" s="1"/>
    </row>
    <row r="432" spans="1:11" x14ac:dyDescent="0.45">
      <c r="A432" s="2">
        <f t="shared" si="33"/>
        <v>430</v>
      </c>
      <c r="B432" s="2">
        <f t="shared" si="38"/>
        <v>31.666666666667048</v>
      </c>
      <c r="C432" s="2">
        <f t="shared" si="37"/>
        <v>56.666666666665904</v>
      </c>
      <c r="D432" s="2">
        <v>0</v>
      </c>
      <c r="E432" s="7">
        <f t="shared" si="34"/>
        <v>0.21040639110906056</v>
      </c>
      <c r="F432" s="7">
        <f t="shared" si="36"/>
        <v>-1.4481759556588258E-3</v>
      </c>
      <c r="G432" s="2">
        <f t="shared" si="35"/>
        <v>0.27106021080845077</v>
      </c>
      <c r="H432" s="2">
        <f>(SystemConstants!$B$6*F432)+(0.5*SystemConstants!$B$7*SystemConstants!$B$5*Data!E432^2)+(0.5*SystemConstants!$B$7*SystemConstants!$B$2*SystemConstants!$B$3*Data!E432^2)</f>
        <v>25.319928212290943</v>
      </c>
      <c r="I432" s="1"/>
      <c r="J432" s="1"/>
      <c r="K432" s="1"/>
    </row>
    <row r="433" spans="1:11" x14ac:dyDescent="0.45">
      <c r="A433" s="2">
        <f t="shared" si="33"/>
        <v>431</v>
      </c>
      <c r="B433" s="2">
        <f t="shared" si="38"/>
        <v>31.833333333333716</v>
      </c>
      <c r="C433" s="2">
        <f t="shared" si="37"/>
        <v>56.333333333332568</v>
      </c>
      <c r="D433" s="2">
        <v>0</v>
      </c>
      <c r="E433" s="7">
        <f t="shared" si="34"/>
        <v>0.20894408782095297</v>
      </c>
      <c r="F433" s="7">
        <f t="shared" si="36"/>
        <v>-1.4623032881075915E-3</v>
      </c>
      <c r="G433" s="2">
        <f t="shared" si="35"/>
        <v>0.27281693989164091</v>
      </c>
      <c r="H433" s="2">
        <f>(SystemConstants!$B$6*F433)+(0.5*SystemConstants!$B$7*SystemConstants!$B$5*Data!E433^2)+(0.5*SystemConstants!$B$7*SystemConstants!$B$2*SystemConstants!$B$3*Data!E433^2)</f>
        <v>24.969175089406477</v>
      </c>
      <c r="I433" s="1"/>
      <c r="J433" s="1"/>
      <c r="K433" s="1"/>
    </row>
    <row r="434" spans="1:11" x14ac:dyDescent="0.45">
      <c r="A434" s="2">
        <f t="shared" si="33"/>
        <v>432</v>
      </c>
      <c r="B434" s="2">
        <f t="shared" si="38"/>
        <v>32.000000000000384</v>
      </c>
      <c r="C434" s="2">
        <f t="shared" si="37"/>
        <v>55.999999999999233</v>
      </c>
      <c r="D434" s="2">
        <v>0</v>
      </c>
      <c r="E434" s="7">
        <f t="shared" si="34"/>
        <v>0.20746757295880514</v>
      </c>
      <c r="F434" s="7">
        <f t="shared" si="36"/>
        <v>-1.4765148621478374E-3</v>
      </c>
      <c r="G434" s="2">
        <f t="shared" si="35"/>
        <v>0.27457831098379104</v>
      </c>
      <c r="H434" s="2">
        <f>(SystemConstants!$B$6*F434)+(0.5*SystemConstants!$B$7*SystemConstants!$B$5*Data!E434^2)+(0.5*SystemConstants!$B$7*SystemConstants!$B$2*SystemConstants!$B$3*Data!E434^2)</f>
        <v>24.617495057780424</v>
      </c>
      <c r="I434" s="1"/>
      <c r="J434" s="1"/>
      <c r="K434" s="1"/>
    </row>
    <row r="435" spans="1:11" x14ac:dyDescent="0.45">
      <c r="A435" s="2">
        <f t="shared" si="33"/>
        <v>433</v>
      </c>
      <c r="B435" s="2">
        <f t="shared" si="38"/>
        <v>32.166666666667048</v>
      </c>
      <c r="C435" s="2">
        <f t="shared" si="37"/>
        <v>55.666666666665904</v>
      </c>
      <c r="D435" s="2">
        <v>0</v>
      </c>
      <c r="E435" s="7">
        <f t="shared" si="34"/>
        <v>0.20597676416043953</v>
      </c>
      <c r="F435" s="7">
        <f t="shared" si="36"/>
        <v>-1.490808798365606E-3</v>
      </c>
      <c r="G435" s="2">
        <f t="shared" si="35"/>
        <v>0.27634406060584304</v>
      </c>
      <c r="H435" s="2">
        <f>(SystemConstants!$B$6*F435)+(0.5*SystemConstants!$B$7*SystemConstants!$B$5*Data!E435^2)+(0.5*SystemConstants!$B$7*SystemConstants!$B$2*SystemConstants!$B$3*Data!E435^2)</f>
        <v>24.264940724174593</v>
      </c>
      <c r="I435" s="1"/>
      <c r="J435" s="1"/>
      <c r="K435" s="1"/>
    </row>
    <row r="436" spans="1:11" x14ac:dyDescent="0.45">
      <c r="A436" s="2">
        <f t="shared" si="33"/>
        <v>434</v>
      </c>
      <c r="B436" s="2">
        <f t="shared" si="38"/>
        <v>32.333333333333712</v>
      </c>
      <c r="C436" s="2">
        <f t="shared" si="37"/>
        <v>55.333333333332575</v>
      </c>
      <c r="D436" s="2">
        <v>0</v>
      </c>
      <c r="E436" s="7">
        <f t="shared" si="34"/>
        <v>0.20447158103966956</v>
      </c>
      <c r="F436" s="7">
        <f t="shared" si="36"/>
        <v>-1.5051831207699706E-3</v>
      </c>
      <c r="G436" s="2">
        <f t="shared" si="35"/>
        <v>0.27811391665256552</v>
      </c>
      <c r="H436" s="2">
        <f>(SystemConstants!$B$6*F436)+(0.5*SystemConstants!$B$7*SystemConstants!$B$5*Data!E436^2)+(0.5*SystemConstants!$B$7*SystemConstants!$B$2*SystemConstants!$B$3*Data!E436^2)</f>
        <v>23.911566417955534</v>
      </c>
      <c r="I436" s="1"/>
      <c r="J436" s="1"/>
      <c r="K436" s="1"/>
    </row>
    <row r="437" spans="1:11" x14ac:dyDescent="0.45">
      <c r="A437" s="2">
        <f t="shared" si="33"/>
        <v>435</v>
      </c>
      <c r="B437" s="2">
        <f t="shared" si="38"/>
        <v>32.500000000000377</v>
      </c>
      <c r="C437" s="2">
        <f t="shared" si="37"/>
        <v>54.999999999999247</v>
      </c>
      <c r="D437" s="2">
        <v>0</v>
      </c>
      <c r="E437" s="7">
        <f t="shared" si="34"/>
        <v>0.2029519452850792</v>
      </c>
      <c r="F437" s="7">
        <f t="shared" si="36"/>
        <v>-1.5196357545903538E-3</v>
      </c>
      <c r="G437" s="2">
        <f t="shared" si="35"/>
        <v>0.27988759828530568</v>
      </c>
      <c r="H437" s="2">
        <f>(SystemConstants!$B$6*F437)+(0.5*SystemConstants!$B$7*SystemConstants!$B$5*Data!E437^2)+(0.5*SystemConstants!$B$7*SystemConstants!$B$2*SystemConstants!$B$3*Data!E437^2)</f>
        <v>23.557428210360815</v>
      </c>
      <c r="I437" s="1"/>
      <c r="J437" s="1"/>
      <c r="K437" s="1"/>
    </row>
    <row r="438" spans="1:11" x14ac:dyDescent="0.45">
      <c r="A438" s="2">
        <f t="shared" si="33"/>
        <v>436</v>
      </c>
      <c r="B438" s="2">
        <f t="shared" si="38"/>
        <v>32.666666666667041</v>
      </c>
      <c r="C438" s="2">
        <f t="shared" si="37"/>
        <v>54.666666666665918</v>
      </c>
      <c r="D438" s="2">
        <v>0</v>
      </c>
      <c r="E438" s="7">
        <f t="shared" si="34"/>
        <v>0.20141778076051509</v>
      </c>
      <c r="F438" s="7">
        <f t="shared" si="36"/>
        <v>-1.5341645245641189E-3</v>
      </c>
      <c r="G438" s="2">
        <f t="shared" si="35"/>
        <v>0.28166481586152087</v>
      </c>
      <c r="H438" s="2">
        <f>(SystemConstants!$B$6*F438)+(0.5*SystemConstants!$B$7*SystemConstants!$B$5*Data!E438^2)+(0.5*SystemConstants!$B$7*SystemConstants!$B$2*SystemConstants!$B$3*Data!E438^2)</f>
        <v>23.20258393270402</v>
      </c>
      <c r="I438" s="1"/>
      <c r="J438" s="1"/>
      <c r="K438" s="1"/>
    </row>
    <row r="439" spans="1:11" x14ac:dyDescent="0.45">
      <c r="A439" s="2">
        <f t="shared" si="33"/>
        <v>437</v>
      </c>
      <c r="B439" s="2">
        <f t="shared" si="38"/>
        <v>32.833333333333705</v>
      </c>
      <c r="C439" s="2">
        <f t="shared" si="37"/>
        <v>54.33333333333259</v>
      </c>
      <c r="D439" s="2">
        <v>0</v>
      </c>
      <c r="E439" s="7">
        <f t="shared" si="34"/>
        <v>0.19986901360731224</v>
      </c>
      <c r="F439" s="7">
        <f t="shared" si="36"/>
        <v>-1.5487671532028457E-3</v>
      </c>
      <c r="G439" s="2">
        <f t="shared" si="35"/>
        <v>0.28344527082859894</v>
      </c>
      <c r="H439" s="2">
        <f>(SystemConstants!$B$6*F439)+(0.5*SystemConstants!$B$7*SystemConstants!$B$5*Data!E439^2)+(0.5*SystemConstants!$B$7*SystemConstants!$B$2*SystemConstants!$B$3*Data!E439^2)</f>
        <v>22.847093193461685</v>
      </c>
      <c r="I439" s="1"/>
      <c r="J439" s="1"/>
      <c r="K439" s="1"/>
    </row>
    <row r="440" spans="1:11" x14ac:dyDescent="0.45">
      <c r="A440" s="2">
        <f t="shared" si="33"/>
        <v>438</v>
      </c>
      <c r="B440" s="2">
        <f t="shared" si="38"/>
        <v>33.000000000000369</v>
      </c>
      <c r="C440" s="2">
        <f t="shared" si="37"/>
        <v>53.999999999999261</v>
      </c>
      <c r="D440" s="2">
        <v>0</v>
      </c>
      <c r="E440" s="7">
        <f t="shared" si="34"/>
        <v>0.19830557234838864</v>
      </c>
      <c r="F440" s="7">
        <f t="shared" si="36"/>
        <v>-1.5634412589236035E-3</v>
      </c>
      <c r="G440" s="2">
        <f t="shared" si="35"/>
        <v>0.2852286556625116</v>
      </c>
      <c r="H440" s="2">
        <f>(SystemConstants!$B$6*F440)+(0.5*SystemConstants!$B$7*SystemConstants!$B$5*Data!E440^2)+(0.5*SystemConstants!$B$7*SystemConstants!$B$2*SystemConstants!$B$3*Data!E440^2)</f>
        <v>22.491017394209607</v>
      </c>
      <c r="I440" s="1"/>
      <c r="J440" s="1"/>
      <c r="K440" s="1"/>
    </row>
    <row r="441" spans="1:11" x14ac:dyDescent="0.45">
      <c r="A441" s="2">
        <f t="shared" si="33"/>
        <v>439</v>
      </c>
      <c r="B441" s="2">
        <f t="shared" si="38"/>
        <v>33.166666666667034</v>
      </c>
      <c r="C441" s="2">
        <f t="shared" si="37"/>
        <v>53.666666666665932</v>
      </c>
      <c r="D441" s="2">
        <v>0</v>
      </c>
      <c r="E441" s="7">
        <f t="shared" si="34"/>
        <v>0.19672738799397393</v>
      </c>
      <c r="F441" s="7">
        <f t="shared" si="36"/>
        <v>-1.5781843544147023E-3</v>
      </c>
      <c r="G441" s="2">
        <f t="shared" si="35"/>
        <v>0.28701465377389923</v>
      </c>
      <c r="H441" s="2">
        <f>(SystemConstants!$B$6*F441)+(0.5*SystemConstants!$B$7*SystemConstants!$B$5*Data!E441^2)+(0.5*SystemConstants!$B$7*SystemConstants!$B$2*SystemConstants!$B$3*Data!E441^2)</f>
        <v>22.134419744288895</v>
      </c>
      <c r="I441" s="1"/>
      <c r="J441" s="1"/>
      <c r="K441" s="1"/>
    </row>
    <row r="442" spans="1:11" x14ac:dyDescent="0.45">
      <c r="A442" s="2">
        <f t="shared" si="33"/>
        <v>440</v>
      </c>
      <c r="B442" s="2">
        <f t="shared" si="38"/>
        <v>33.333333333333698</v>
      </c>
      <c r="C442" s="2">
        <f t="shared" si="37"/>
        <v>53.333333333332604</v>
      </c>
      <c r="D442" s="2">
        <v>0</v>
      </c>
      <c r="E442" s="7">
        <f t="shared" si="34"/>
        <v>0.19513439414894407</v>
      </c>
      <c r="F442" s="7">
        <f t="shared" si="36"/>
        <v>-1.5929938450298664E-3</v>
      </c>
      <c r="G442" s="2">
        <f t="shared" si="35"/>
        <v>0.28880293946879726</v>
      </c>
      <c r="H442" s="2">
        <f>(SystemConstants!$B$6*F442)+(0.5*SystemConstants!$B$7*SystemConstants!$B$5*Data!E442^2)+(0.5*SystemConstants!$B$7*SystemConstants!$B$2*SystemConstants!$B$3*Data!E442^2)</f>
        <v>21.777365274131437</v>
      </c>
      <c r="I442" s="1"/>
      <c r="J442" s="1"/>
      <c r="K442" s="1"/>
    </row>
    <row r="443" spans="1:11" x14ac:dyDescent="0.45">
      <c r="A443" s="2">
        <f t="shared" si="33"/>
        <v>441</v>
      </c>
      <c r="B443" s="2">
        <f t="shared" si="38"/>
        <v>33.500000000000362</v>
      </c>
      <c r="C443" s="2">
        <f t="shared" si="37"/>
        <v>52.999999999999275</v>
      </c>
      <c r="D443" s="2">
        <v>0</v>
      </c>
      <c r="E443" s="7">
        <f t="shared" si="34"/>
        <v>0.19352652712176166</v>
      </c>
      <c r="F443" s="7">
        <f t="shared" si="36"/>
        <v>-1.607867027182408E-3</v>
      </c>
      <c r="G443" s="2">
        <f t="shared" si="35"/>
        <v>0.29059317785945338</v>
      </c>
      <c r="H443" s="2">
        <f>(SystemConstants!$B$6*F443)+(0.5*SystemConstants!$B$7*SystemConstants!$B$5*Data!E443^2)+(0.5*SystemConstants!$B$7*SystemConstants!$B$2*SystemConstants!$B$3*Data!E443^2)</f>
        <v>21.419920847179618</v>
      </c>
      <c r="I443" s="1"/>
      <c r="J443" s="1"/>
      <c r="K443" s="1"/>
    </row>
    <row r="444" spans="1:11" x14ac:dyDescent="0.45">
      <c r="A444" s="2">
        <f t="shared" si="33"/>
        <v>442</v>
      </c>
      <c r="B444" s="2">
        <f t="shared" si="38"/>
        <v>33.666666666667027</v>
      </c>
      <c r="C444" s="2">
        <f t="shared" si="37"/>
        <v>52.666666666665947</v>
      </c>
      <c r="D444" s="2">
        <v>0</v>
      </c>
      <c r="E444" s="7">
        <f t="shared" si="34"/>
        <v>0.19190372603487305</v>
      </c>
      <c r="F444" s="7">
        <f t="shared" si="36"/>
        <v>-1.6228010868886145E-3</v>
      </c>
      <c r="G444" s="2">
        <f t="shared" si="35"/>
        <v>0.29238502483066453</v>
      </c>
      <c r="H444" s="2">
        <f>(SystemConstants!$B$6*F444)+(0.5*SystemConstants!$B$7*SystemConstants!$B$5*Data!E444^2)+(0.5*SystemConstants!$B$7*SystemConstants!$B$2*SystemConstants!$B$3*Data!E444^2)</f>
        <v>21.062155170301473</v>
      </c>
      <c r="I444" s="1"/>
      <c r="J444" s="1"/>
      <c r="K444" s="1"/>
    </row>
    <row r="445" spans="1:11" x14ac:dyDescent="0.45">
      <c r="A445" s="2">
        <f t="shared" si="33"/>
        <v>443</v>
      </c>
      <c r="B445" s="2">
        <f t="shared" si="38"/>
        <v>33.833333333333691</v>
      </c>
      <c r="C445" s="2">
        <f t="shared" si="37"/>
        <v>52.333333333332618</v>
      </c>
      <c r="D445" s="2">
        <v>0</v>
      </c>
      <c r="E445" s="7">
        <f t="shared" si="34"/>
        <v>0.19026593293665428</v>
      </c>
      <c r="F445" s="7">
        <f t="shared" si="36"/>
        <v>-1.637793098218765E-3</v>
      </c>
      <c r="G445" s="2">
        <f t="shared" si="35"/>
        <v>0.29417812698944806</v>
      </c>
      <c r="H445" s="2">
        <f>(SystemConstants!$B$6*F445)+(0.5*SystemConstants!$B$7*SystemConstants!$B$5*Data!E445^2)+(0.5*SystemConstants!$B$7*SystemConstants!$B$2*SystemConstants!$B$3*Data!E445^2)</f>
        <v>20.704138802656615</v>
      </c>
      <c r="I445" s="1"/>
      <c r="J445" s="1"/>
      <c r="K445" s="1"/>
    </row>
    <row r="446" spans="1:11" x14ac:dyDescent="0.45">
      <c r="A446" s="2">
        <f t="shared" si="33"/>
        <v>444</v>
      </c>
      <c r="B446" s="2">
        <f t="shared" si="38"/>
        <v>34.000000000000355</v>
      </c>
      <c r="C446" s="2">
        <f t="shared" si="37"/>
        <v>51.999999999999289</v>
      </c>
      <c r="D446" s="2">
        <v>0</v>
      </c>
      <c r="E446" s="7">
        <f t="shared" si="34"/>
        <v>0.18861309291444428</v>
      </c>
      <c r="F446" s="7">
        <f t="shared" si="36"/>
        <v>-1.6528400222100004E-3</v>
      </c>
      <c r="G446" s="2">
        <f t="shared" si="35"/>
        <v>0.29597212163046233</v>
      </c>
      <c r="H446" s="2">
        <f>(SystemConstants!$B$6*F446)+(0.5*SystemConstants!$B$7*SystemConstants!$B$5*Data!E446^2)+(0.5*SystemConstants!$B$7*SystemConstants!$B$2*SystemConstants!$B$3*Data!E446^2)</f>
        <v>20.345944162845729</v>
      </c>
      <c r="I446" s="1"/>
      <c r="J446" s="1"/>
      <c r="K446" s="1"/>
    </row>
    <row r="447" spans="1:11" x14ac:dyDescent="0.45">
      <c r="A447" s="2">
        <f t="shared" si="33"/>
        <v>445</v>
      </c>
      <c r="B447" s="2">
        <f t="shared" si="38"/>
        <v>34.16666666666702</v>
      </c>
      <c r="C447" s="2">
        <f t="shared" si="37"/>
        <v>51.666666666665961</v>
      </c>
      <c r="D447" s="2">
        <v>0</v>
      </c>
      <c r="E447" s="7">
        <f t="shared" si="34"/>
        <v>0.18694515420915536</v>
      </c>
      <c r="F447" s="7">
        <f t="shared" si="36"/>
        <v>-1.6679387052889183E-3</v>
      </c>
      <c r="G447" s="2">
        <f t="shared" si="35"/>
        <v>0.29776663670995202</v>
      </c>
      <c r="H447" s="2">
        <f>(SystemConstants!$B$6*F447)+(0.5*SystemConstants!$B$7*SystemConstants!$B$5*Data!E447^2)+(0.5*SystemConstants!$B$7*SystemConstants!$B$2*SystemConstants!$B$3*Data!E447^2)</f>
        <v>19.987645534387784</v>
      </c>
      <c r="I447" s="1"/>
      <c r="J447" s="1"/>
      <c r="K447" s="1"/>
    </row>
    <row r="448" spans="1:11" x14ac:dyDescent="0.45">
      <c r="A448" s="2">
        <f t="shared" si="33"/>
        <v>446</v>
      </c>
      <c r="B448" s="2">
        <f t="shared" si="38"/>
        <v>34.333333333333684</v>
      </c>
      <c r="C448" s="2">
        <f t="shared" si="37"/>
        <v>51.333333333332632</v>
      </c>
      <c r="D448" s="2">
        <v>0</v>
      </c>
      <c r="E448" s="7">
        <f t="shared" si="34"/>
        <v>0.18526206833075065</v>
      </c>
      <c r="F448" s="7">
        <f t="shared" si="36"/>
        <v>-1.6830858784047109E-3</v>
      </c>
      <c r="G448" s="2">
        <f t="shared" si="35"/>
        <v>0.29956129082256783</v>
      </c>
      <c r="H448" s="2">
        <f>(SystemConstants!$B$6*F448)+(0.5*SystemConstants!$B$7*SystemConstants!$B$5*Data!E448^2)+(0.5*SystemConstants!$B$7*SystemConstants!$B$2*SystemConstants!$B$3*Data!E448^2)</f>
        <v>19.629319069304294</v>
      </c>
      <c r="I448" s="1"/>
      <c r="J448" s="1"/>
      <c r="K448" s="1"/>
    </row>
    <row r="449" spans="1:11" x14ac:dyDescent="0.45">
      <c r="A449" s="2">
        <f t="shared" si="33"/>
        <v>447</v>
      </c>
      <c r="B449" s="2">
        <f t="shared" si="38"/>
        <v>34.500000000000348</v>
      </c>
      <c r="C449" s="2">
        <f t="shared" si="37"/>
        <v>50.999999999999304</v>
      </c>
      <c r="D449" s="2">
        <v>0</v>
      </c>
      <c r="E449" s="7">
        <f t="shared" si="34"/>
        <v>0.18356379017496494</v>
      </c>
      <c r="F449" s="7">
        <f t="shared" si="36"/>
        <v>-1.6982781557857152E-3</v>
      </c>
      <c r="G449" s="2">
        <f t="shared" si="35"/>
        <v>0.30135569320366962</v>
      </c>
      <c r="H449" s="2">
        <f>(SystemConstants!$B$6*F449)+(0.5*SystemConstants!$B$7*SystemConstants!$B$5*Data!E449^2)+(0.5*SystemConstants!$B$7*SystemConstants!$B$2*SystemConstants!$B$3*Data!E449^2)</f>
        <v>19.271042789830968</v>
      </c>
      <c r="I449" s="1"/>
      <c r="J449" s="1"/>
      <c r="K449" s="1"/>
    </row>
    <row r="450" spans="1:11" x14ac:dyDescent="0.45">
      <c r="A450" s="2">
        <f t="shared" si="33"/>
        <v>448</v>
      </c>
      <c r="B450" s="2">
        <f t="shared" si="38"/>
        <v>34.666666666667012</v>
      </c>
      <c r="C450" s="2">
        <f t="shared" si="37"/>
        <v>50.666666666665975</v>
      </c>
      <c r="D450" s="2">
        <v>0</v>
      </c>
      <c r="E450" s="7">
        <f t="shared" si="34"/>
        <v>0.1818502781409066</v>
      </c>
      <c r="F450" s="7">
        <f t="shared" si="36"/>
        <v>-1.7135120340583399E-3</v>
      </c>
      <c r="G450" s="2">
        <f t="shared" si="35"/>
        <v>0.30314944371221475</v>
      </c>
      <c r="H450" s="2">
        <f>(SystemConstants!$B$6*F450)+(0.5*SystemConstants!$B$7*SystemConstants!$B$5*Data!E450^2)+(0.5*SystemConstants!$B$7*SystemConstants!$B$2*SystemConstants!$B$3*Data!E450^2)</f>
        <v>18.912896588114997</v>
      </c>
      <c r="I450" s="1"/>
      <c r="J450" s="1"/>
      <c r="K450" s="1"/>
    </row>
    <row r="451" spans="1:11" x14ac:dyDescent="0.45">
      <c r="A451" s="2">
        <f t="shared" ref="A451:A514" si="39">A450+1</f>
        <v>449</v>
      </c>
      <c r="B451" s="2">
        <f t="shared" si="38"/>
        <v>34.833333333333677</v>
      </c>
      <c r="C451" s="2">
        <f t="shared" si="37"/>
        <v>50.333333333332646</v>
      </c>
      <c r="D451" s="2">
        <v>0</v>
      </c>
      <c r="E451" s="7">
        <f t="shared" si="34"/>
        <v>0.18012149424944823</v>
      </c>
      <c r="F451" s="7">
        <f t="shared" si="36"/>
        <v>-1.7287838914583631E-3</v>
      </c>
      <c r="G451" s="2">
        <f t="shared" si="35"/>
        <v>0.30494213286753802</v>
      </c>
      <c r="H451" s="2">
        <f>(SystemConstants!$B$6*F451)+(0.5*SystemConstants!$B$7*SystemConstants!$B$5*Data!E451^2)+(0.5*SystemConstants!$B$7*SystemConstants!$B$2*SystemConstants!$B$3*Data!E451^2)</f>
        <v>18.554962223818464</v>
      </c>
      <c r="I451" s="1"/>
      <c r="J451" s="1"/>
      <c r="K451" s="1"/>
    </row>
    <row r="452" spans="1:11" x14ac:dyDescent="0.45">
      <c r="A452" s="2">
        <f t="shared" si="39"/>
        <v>450</v>
      </c>
      <c r="B452" s="2">
        <f t="shared" si="38"/>
        <v>35.000000000000341</v>
      </c>
      <c r="C452" s="2">
        <f t="shared" si="37"/>
        <v>49.999999999999318</v>
      </c>
      <c r="D452" s="2">
        <v>0</v>
      </c>
      <c r="E452" s="7">
        <f t="shared" ref="E452:E515" si="40">ABS((SQRT(B452^2+C452^2+D452^2)-SQRT(B451^2+C451^2+D451^2))/(A452-A451))</f>
        <v>0.17837740426249127</v>
      </c>
      <c r="F452" s="7">
        <f t="shared" si="36"/>
        <v>-1.7440899869569648E-3</v>
      </c>
      <c r="G452" s="2">
        <f t="shared" si="35"/>
        <v>0.3067333418459805</v>
      </c>
      <c r="H452" s="2">
        <f>(SystemConstants!$B$6*F452)+(0.5*SystemConstants!$B$7*SystemConstants!$B$5*Data!E452^2)+(0.5*SystemConstants!$B$7*SystemConstants!$B$2*SystemConstants!$B$3*Data!E452^2)</f>
        <v>18.197323319585408</v>
      </c>
      <c r="I452" s="1"/>
      <c r="J452" s="1"/>
      <c r="K452" s="1"/>
    </row>
    <row r="453" spans="1:11" x14ac:dyDescent="0.45">
      <c r="A453" s="2">
        <f t="shared" si="39"/>
        <v>451</v>
      </c>
      <c r="B453" s="2">
        <f t="shared" si="38"/>
        <v>35.166666666667005</v>
      </c>
      <c r="C453" s="2">
        <f t="shared" si="37"/>
        <v>49.666666666665989</v>
      </c>
      <c r="D453" s="2">
        <v>0</v>
      </c>
      <c r="E453" s="7">
        <f t="shared" si="40"/>
        <v>0.17661797780261423</v>
      </c>
      <c r="F453" s="7">
        <f t="shared" si="36"/>
        <v>-1.7594264598770337E-3</v>
      </c>
      <c r="G453" s="2">
        <f t="shared" ref="G453:G516" si="41">DEGREES(ACOS( (B452*B453+C452*C453+D452*D453) / SQRT((B452^2+C452^2+D452^2)*(B453^2+C453^2+D453^2))))</f>
        <v>0.30852264253654893</v>
      </c>
      <c r="H453" s="2">
        <f>(SystemConstants!$B$6*F453)+(0.5*SystemConstants!$B$7*SystemConstants!$B$5*Data!E453^2)+(0.5*SystemConstants!$B$7*SystemConstants!$B$2*SystemConstants!$B$3*Data!E453^2)</f>
        <v>17.840065354211685</v>
      </c>
      <c r="I453" s="1"/>
      <c r="J453" s="1"/>
      <c r="K453" s="1"/>
    </row>
    <row r="454" spans="1:11" x14ac:dyDescent="0.45">
      <c r="A454" s="2">
        <f t="shared" si="39"/>
        <v>452</v>
      </c>
      <c r="B454" s="2">
        <f t="shared" si="38"/>
        <v>35.33333333333367</v>
      </c>
      <c r="C454" s="2">
        <f t="shared" si="37"/>
        <v>49.333333333332661</v>
      </c>
      <c r="D454" s="2">
        <v>0</v>
      </c>
      <c r="E454" s="7">
        <f t="shared" si="40"/>
        <v>0.17484318847330371</v>
      </c>
      <c r="F454" s="7">
        <f t="shared" si="36"/>
        <v>-1.7747893293105221E-3</v>
      </c>
      <c r="G454" s="2">
        <f t="shared" si="41"/>
        <v>0.31030959757410831</v>
      </c>
      <c r="H454" s="2">
        <f>(SystemConstants!$B$6*F454)+(0.5*SystemConstants!$B$7*SystemConstants!$B$5*Data!E454^2)+(0.5*SystemConstants!$B$7*SystemConstants!$B$2*SystemConstants!$B$3*Data!E454^2)</f>
        <v>17.483275653503654</v>
      </c>
      <c r="I454" s="1"/>
      <c r="J454" s="1"/>
      <c r="K454" s="1"/>
    </row>
    <row r="455" spans="1:11" x14ac:dyDescent="0.45">
      <c r="A455" s="2">
        <f t="shared" si="39"/>
        <v>453</v>
      </c>
      <c r="B455" s="2">
        <f t="shared" si="38"/>
        <v>35.500000000000334</v>
      </c>
      <c r="C455" s="2">
        <f t="shared" si="37"/>
        <v>48.999999999999332</v>
      </c>
      <c r="D455" s="2">
        <v>0</v>
      </c>
      <c r="E455" s="7">
        <f t="shared" si="40"/>
        <v>0.1730530139794979</v>
      </c>
      <c r="F455" s="7">
        <f t="shared" si="36"/>
        <v>-1.7901744938058073E-3</v>
      </c>
      <c r="G455" s="2">
        <f t="shared" si="41"/>
        <v>0.31209376040194953</v>
      </c>
      <c r="H455" s="2">
        <f>(SystemConstants!$B$6*F455)+(0.5*SystemConstants!$B$7*SystemConstants!$B$5*Data!E455^2)+(0.5*SystemConstants!$B$7*SystemConstants!$B$2*SystemConstants!$B$3*Data!E455^2)</f>
        <v>17.127043378714639</v>
      </c>
      <c r="I455" s="1"/>
      <c r="J455" s="1"/>
      <c r="K455" s="1"/>
    </row>
    <row r="456" spans="1:11" x14ac:dyDescent="0.45">
      <c r="A456" s="2">
        <f t="shared" si="39"/>
        <v>454</v>
      </c>
      <c r="B456" s="2">
        <f t="shared" si="38"/>
        <v>35.666666666666998</v>
      </c>
      <c r="C456" s="2">
        <f t="shared" si="37"/>
        <v>48.666666666666003</v>
      </c>
      <c r="D456" s="2">
        <v>0</v>
      </c>
      <c r="E456" s="7">
        <f t="shared" si="40"/>
        <v>0.17124743624819416</v>
      </c>
      <c r="F456" s="7">
        <f t="shared" si="36"/>
        <v>-1.8055777313037424E-3</v>
      </c>
      <c r="G456" s="2">
        <f t="shared" si="41"/>
        <v>0.3138746753423341</v>
      </c>
      <c r="H456" s="2">
        <f>(SystemConstants!$B$6*F456)+(0.5*SystemConstants!$B$7*SystemConstants!$B$5*Data!E456^2)+(0.5*SystemConstants!$B$7*SystemConstants!$B$2*SystemConstants!$B$3*Data!E456^2)</f>
        <v>16.771459512457316</v>
      </c>
      <c r="I456" s="1"/>
      <c r="J456" s="1"/>
      <c r="K456" s="1"/>
    </row>
    <row r="457" spans="1:11" x14ac:dyDescent="0.45">
      <c r="A457" s="2">
        <f t="shared" si="39"/>
        <v>455</v>
      </c>
      <c r="B457" s="2">
        <f t="shared" si="38"/>
        <v>35.833333333333663</v>
      </c>
      <c r="C457" s="2">
        <f t="shared" si="37"/>
        <v>48.333333333332675</v>
      </c>
      <c r="D457" s="2">
        <v>0</v>
      </c>
      <c r="E457" s="7">
        <f t="shared" si="40"/>
        <v>0.16942644154921283</v>
      </c>
      <c r="F457" s="7">
        <f t="shared" ref="F457:F520" si="42">(E457-E456)/(A457-A456)</f>
        <v>-1.8209946989813375E-3</v>
      </c>
      <c r="G457" s="2">
        <f t="shared" si="41"/>
        <v>0.31565187767903602</v>
      </c>
      <c r="H457" s="2">
        <f>(SystemConstants!$B$6*F457)+(0.5*SystemConstants!$B$7*SystemConstants!$B$5*Data!E457^2)+(0.5*SystemConstants!$B$7*SystemConstants!$B$2*SystemConstants!$B$3*Data!E457^2)</f>
        <v>16.416616842061149</v>
      </c>
      <c r="I457" s="1"/>
      <c r="J457" s="1"/>
      <c r="K457" s="1"/>
    </row>
    <row r="458" spans="1:11" x14ac:dyDescent="0.45">
      <c r="A458" s="2">
        <f t="shared" si="39"/>
        <v>456</v>
      </c>
      <c r="B458" s="2">
        <f t="shared" si="38"/>
        <v>36.000000000000327</v>
      </c>
      <c r="C458" s="2">
        <f t="shared" si="37"/>
        <v>47.999999999999346</v>
      </c>
      <c r="D458" s="2">
        <v>0</v>
      </c>
      <c r="E458" s="7">
        <f t="shared" si="40"/>
        <v>0.16759002061565553</v>
      </c>
      <c r="F458" s="7">
        <f t="shared" si="42"/>
        <v>-1.8364209335572923E-3</v>
      </c>
      <c r="G458" s="2">
        <f t="shared" si="41"/>
        <v>0.31742489375189331</v>
      </c>
      <c r="H458" s="2">
        <f>(SystemConstants!$B$6*F458)+(0.5*SystemConstants!$B$7*SystemConstants!$B$5*Data!E458^2)+(0.5*SystemConstants!$B$7*SystemConstants!$B$2*SystemConstants!$B$3*Data!E458^2)</f>
        <v>16.062609940235838</v>
      </c>
      <c r="I458" s="1"/>
      <c r="J458" s="1"/>
      <c r="K458" s="1"/>
    </row>
    <row r="459" spans="1:11" x14ac:dyDescent="0.45">
      <c r="A459" s="2">
        <f t="shared" si="39"/>
        <v>457</v>
      </c>
      <c r="B459" s="2">
        <f t="shared" si="38"/>
        <v>36.166666666666991</v>
      </c>
      <c r="C459" s="2">
        <f t="shared" si="37"/>
        <v>47.666666666666018</v>
      </c>
      <c r="D459" s="2">
        <v>0</v>
      </c>
      <c r="E459" s="7">
        <f t="shared" si="40"/>
        <v>0.16573816876412906</v>
      </c>
      <c r="F459" s="7">
        <f t="shared" si="42"/>
        <v>-1.8518518515264759E-3</v>
      </c>
      <c r="G459" s="2">
        <f t="shared" si="41"/>
        <v>0.31919324107634572</v>
      </c>
      <c r="H459" s="2">
        <f>(SystemConstants!$B$6*F459)+(0.5*SystemConstants!$B$7*SystemConstants!$B$5*Data!E459^2)+(0.5*SystemConstants!$B$7*SystemConstants!$B$2*SystemConstants!$B$3*Data!E459^2)</f>
        <v>15.709535143012111</v>
      </c>
      <c r="I459" s="1"/>
      <c r="J459" s="1"/>
      <c r="K459" s="1"/>
    </row>
    <row r="460" spans="1:11" x14ac:dyDescent="0.45">
      <c r="A460" s="2">
        <f t="shared" si="39"/>
        <v>458</v>
      </c>
      <c r="B460" s="2">
        <f t="shared" si="38"/>
        <v>36.333333333333655</v>
      </c>
      <c r="C460" s="2">
        <f t="shared" si="37"/>
        <v>47.333333333332689</v>
      </c>
      <c r="D460" s="2">
        <v>0</v>
      </c>
      <c r="E460" s="7">
        <f t="shared" si="40"/>
        <v>0.16387088601450017</v>
      </c>
      <c r="F460" s="7">
        <f t="shared" si="42"/>
        <v>-1.8672827496288846E-3</v>
      </c>
      <c r="G460" s="2">
        <f t="shared" si="41"/>
        <v>0.32095642844785915</v>
      </c>
      <c r="H460" s="2">
        <f>(SystemConstants!$B$6*F460)+(0.5*SystemConstants!$B$7*SystemConstants!$B$5*Data!E460^2)+(0.5*SystemConstants!$B$7*SystemConstants!$B$2*SystemConstants!$B$3*Data!E460^2)</f>
        <v>15.357490524872881</v>
      </c>
      <c r="I460" s="1"/>
      <c r="J460" s="1"/>
      <c r="K460" s="1"/>
    </row>
    <row r="461" spans="1:11" x14ac:dyDescent="0.45">
      <c r="A461" s="2">
        <f t="shared" si="39"/>
        <v>459</v>
      </c>
      <c r="B461" s="2">
        <f t="shared" si="38"/>
        <v>36.50000000000032</v>
      </c>
      <c r="C461" s="2">
        <f t="shared" si="37"/>
        <v>46.999999999999361</v>
      </c>
      <c r="D461" s="2">
        <v>0</v>
      </c>
      <c r="E461" s="7">
        <f t="shared" si="40"/>
        <v>0.16198817720883341</v>
      </c>
      <c r="F461" s="7">
        <f t="shared" si="42"/>
        <v>-1.8827088056667662E-3</v>
      </c>
      <c r="G461" s="2">
        <f t="shared" si="41"/>
        <v>0.32271395611385328</v>
      </c>
      <c r="H461" s="2">
        <f>(SystemConstants!$B$6*F461)+(0.5*SystemConstants!$B$7*SystemConstants!$B$5*Data!E461^2)+(0.5*SystemConstants!$B$7*SystemConstants!$B$2*SystemConstants!$B$3*Data!E461^2)</f>
        <v>15.00657587097181</v>
      </c>
      <c r="I461" s="1"/>
      <c r="J461" s="1"/>
      <c r="K461" s="1"/>
    </row>
    <row r="462" spans="1:11" x14ac:dyDescent="0.45">
      <c r="A462" s="2">
        <f t="shared" si="39"/>
        <v>460</v>
      </c>
      <c r="B462" s="2">
        <f t="shared" si="38"/>
        <v>36.666666666666984</v>
      </c>
      <c r="C462" s="2">
        <f t="shared" si="37"/>
        <v>46.666666666666032</v>
      </c>
      <c r="D462" s="2">
        <v>0</v>
      </c>
      <c r="E462" s="7">
        <f t="shared" si="40"/>
        <v>0.16009005212966088</v>
      </c>
      <c r="F462" s="7">
        <f t="shared" si="42"/>
        <v>-1.8981250791725301E-3</v>
      </c>
      <c r="G462" s="2">
        <f t="shared" si="41"/>
        <v>0.32446531589002103</v>
      </c>
      <c r="H462" s="2">
        <f>(SystemConstants!$B$6*F462)+(0.5*SystemConstants!$B$7*SystemConstants!$B$5*Data!E462^2)+(0.5*SystemConstants!$B$7*SystemConstants!$B$2*SystemConstants!$B$3*Data!E462^2)</f>
        <v>14.656892646435098</v>
      </c>
      <c r="I462" s="1"/>
      <c r="J462" s="1"/>
      <c r="K462" s="1"/>
    </row>
    <row r="463" spans="1:11" x14ac:dyDescent="0.45">
      <c r="A463" s="2">
        <f t="shared" si="39"/>
        <v>461</v>
      </c>
      <c r="B463" s="2">
        <f t="shared" si="38"/>
        <v>36.833333333333648</v>
      </c>
      <c r="C463" s="2">
        <f t="shared" si="37"/>
        <v>46.333333333332703</v>
      </c>
      <c r="D463" s="2">
        <v>0</v>
      </c>
      <c r="E463" s="7">
        <f t="shared" si="40"/>
        <v>0.15817652561696605</v>
      </c>
      <c r="F463" s="7">
        <f t="shared" si="42"/>
        <v>-1.9135265126948298E-3</v>
      </c>
      <c r="G463" s="2">
        <f t="shared" si="41"/>
        <v>0.32620999135555101</v>
      </c>
      <c r="H463" s="2">
        <f>(SystemConstants!$B$6*F463)+(0.5*SystemConstants!$B$7*SystemConstants!$B$5*Data!E463^2)+(0.5*SystemConstants!$B$7*SystemConstants!$B$2*SystemConstants!$B$3*Data!E463^2)</f>
        <v>14.308543962601036</v>
      </c>
      <c r="I463" s="1"/>
      <c r="J463" s="1"/>
      <c r="K463" s="1"/>
    </row>
    <row r="464" spans="1:11" x14ac:dyDescent="0.45">
      <c r="A464" s="2">
        <f t="shared" si="39"/>
        <v>462</v>
      </c>
      <c r="B464" s="2">
        <f t="shared" si="38"/>
        <v>37.000000000000313</v>
      </c>
      <c r="C464" s="2">
        <f t="shared" si="37"/>
        <v>45.999999999999375</v>
      </c>
      <c r="D464" s="2">
        <v>0</v>
      </c>
      <c r="E464" s="7">
        <f t="shared" si="40"/>
        <v>0.15624761768410877</v>
      </c>
      <c r="F464" s="7">
        <f t="shared" si="42"/>
        <v>-1.9289079328572711E-3</v>
      </c>
      <c r="G464" s="2">
        <f t="shared" si="41"/>
        <v>0.32794745803410102</v>
      </c>
      <c r="H464" s="2">
        <f>(SystemConstants!$B$6*F464)+(0.5*SystemConstants!$B$7*SystemConstants!$B$5*Data!E464^2)+(0.5*SystemConstants!$B$7*SystemConstants!$B$2*SystemConstants!$B$3*Data!E464^2)</f>
        <v>13.961634540216814</v>
      </c>
      <c r="I464" s="1"/>
      <c r="J464" s="1"/>
      <c r="K464" s="1"/>
    </row>
    <row r="465" spans="1:11" x14ac:dyDescent="0.45">
      <c r="A465" s="2">
        <f t="shared" si="39"/>
        <v>463</v>
      </c>
      <c r="B465" s="2">
        <f t="shared" si="38"/>
        <v>37.166666666666977</v>
      </c>
      <c r="C465" s="2">
        <f t="shared" si="37"/>
        <v>45.666666666666046</v>
      </c>
      <c r="D465" s="2">
        <v>0</v>
      </c>
      <c r="E465" s="7">
        <f t="shared" si="40"/>
        <v>0.1543033536320948</v>
      </c>
      <c r="F465" s="7">
        <f t="shared" si="42"/>
        <v>-1.9442640520139776E-3</v>
      </c>
      <c r="G465" s="2">
        <f t="shared" si="41"/>
        <v>0.32967718357919901</v>
      </c>
      <c r="H465" s="2">
        <f>(SystemConstants!$B$6*F465)+(0.5*SystemConstants!$B$7*SystemConstants!$B$5*Data!E465^2)+(0.5*SystemConstants!$B$7*SystemConstants!$B$2*SystemConstants!$B$3*Data!E465^2)</f>
        <v>13.616270669462679</v>
      </c>
      <c r="I465" s="1"/>
      <c r="J465" s="1"/>
      <c r="K465" s="1"/>
    </row>
    <row r="466" spans="1:11" x14ac:dyDescent="0.45">
      <c r="A466" s="2">
        <f t="shared" si="39"/>
        <v>464</v>
      </c>
      <c r="B466" s="2">
        <f t="shared" si="38"/>
        <v>37.333333333333641</v>
      </c>
      <c r="C466" s="2">
        <f t="shared" si="37"/>
        <v>45.333333333332718</v>
      </c>
      <c r="D466" s="2">
        <v>0</v>
      </c>
      <c r="E466" s="7">
        <f t="shared" si="40"/>
        <v>0.15234376416235307</v>
      </c>
      <c r="F466" s="7">
        <f t="shared" si="42"/>
        <v>-1.9595894697417293E-3</v>
      </c>
      <c r="G466" s="2">
        <f t="shared" si="41"/>
        <v>0.33139862800675418</v>
      </c>
      <c r="H466" s="2">
        <f>(SystemConstants!$B$6*F466)+(0.5*SystemConstants!$B$7*SystemConstants!$B$5*Data!E466^2)+(0.5*SystemConstants!$B$7*SystemConstants!$B$2*SystemConstants!$B$3*Data!E466^2)</f>
        <v>13.27256016681995</v>
      </c>
      <c r="I466" s="1"/>
      <c r="J466" s="1"/>
      <c r="K466" s="1"/>
    </row>
    <row r="467" spans="1:11" x14ac:dyDescent="0.45">
      <c r="A467" s="2">
        <f t="shared" si="39"/>
        <v>465</v>
      </c>
      <c r="B467" s="2">
        <f t="shared" si="38"/>
        <v>37.500000000000306</v>
      </c>
      <c r="C467" s="2">
        <f t="shared" si="37"/>
        <v>44.999999999999389</v>
      </c>
      <c r="D467" s="2">
        <v>0</v>
      </c>
      <c r="E467" s="7">
        <f t="shared" si="40"/>
        <v>0.15036888548738858</v>
      </c>
      <c r="F467" s="7">
        <f t="shared" si="42"/>
        <v>-1.9748786749644864E-3</v>
      </c>
      <c r="G467" s="2">
        <f t="shared" si="41"/>
        <v>0.33311124392200897</v>
      </c>
      <c r="H467" s="2">
        <f>(SystemConstants!$B$6*F467)+(0.5*SystemConstants!$B$7*SystemConstants!$B$5*Data!E467^2)+(0.5*SystemConstants!$B$7*SystemConstants!$B$2*SystemConstants!$B$3*Data!E467^2)</f>
        <v>12.930612328660226</v>
      </c>
      <c r="I467" s="1"/>
      <c r="J467" s="1"/>
      <c r="K467" s="1"/>
    </row>
    <row r="468" spans="1:11" x14ac:dyDescent="0.45">
      <c r="A468" s="2">
        <f t="shared" si="39"/>
        <v>466</v>
      </c>
      <c r="B468" s="2">
        <f t="shared" si="38"/>
        <v>37.66666666666697</v>
      </c>
      <c r="C468" s="2">
        <f t="shared" si="37"/>
        <v>44.66666666666606</v>
      </c>
      <c r="D468" s="2">
        <v>0</v>
      </c>
      <c r="E468" s="7">
        <f t="shared" si="40"/>
        <v>0.14837875943955936</v>
      </c>
      <c r="F468" s="7">
        <f t="shared" si="42"/>
        <v>-1.9901260478292215E-3</v>
      </c>
      <c r="G468" s="2">
        <f t="shared" si="41"/>
        <v>0.33481447676395792</v>
      </c>
      <c r="H468" s="2">
        <f>(SystemConstants!$B$6*F468)+(0.5*SystemConstants!$B$7*SystemConstants!$B$5*Data!E468^2)+(0.5*SystemConstants!$B$7*SystemConstants!$B$2*SystemConstants!$B$3*Data!E468^2)</f>
        <v>12.590537881597864</v>
      </c>
      <c r="I468" s="1"/>
      <c r="J468" s="1"/>
      <c r="K468" s="1"/>
    </row>
    <row r="469" spans="1:11" x14ac:dyDescent="0.45">
      <c r="A469" s="2">
        <f t="shared" si="39"/>
        <v>467</v>
      </c>
      <c r="B469" s="2">
        <f t="shared" si="38"/>
        <v>37.833333333333634</v>
      </c>
      <c r="C469" s="2">
        <f t="shared" si="37"/>
        <v>44.333333333332732</v>
      </c>
      <c r="D469" s="2">
        <v>0</v>
      </c>
      <c r="E469" s="7">
        <f t="shared" si="40"/>
        <v>0.14637343357722443</v>
      </c>
      <c r="F469" s="7">
        <f t="shared" si="42"/>
        <v>-2.0053258623349279E-3</v>
      </c>
      <c r="G469" s="2">
        <f t="shared" si="41"/>
        <v>0.33650776507250185</v>
      </c>
      <c r="H469" s="2">
        <f>(SystemConstants!$B$6*F469)+(0.5*SystemConstants!$B$7*SystemConstants!$B$5*Data!E469^2)+(0.5*SystemConstants!$B$7*SystemConstants!$B$2*SystemConstants!$B$3*Data!E469^2)</f>
        <v>12.252448929476131</v>
      </c>
      <c r="I469" s="1"/>
      <c r="J469" s="1"/>
      <c r="K469" s="1"/>
    </row>
    <row r="470" spans="1:11" x14ac:dyDescent="0.45">
      <c r="A470" s="2">
        <f t="shared" si="39"/>
        <v>468</v>
      </c>
      <c r="B470" s="2">
        <f t="shared" si="38"/>
        <v>38.000000000000298</v>
      </c>
      <c r="C470" s="2">
        <f t="shared" si="37"/>
        <v>43.999999999999403</v>
      </c>
      <c r="D470" s="2">
        <v>0</v>
      </c>
      <c r="E470" s="7">
        <f t="shared" si="40"/>
        <v>0.14435296128858255</v>
      </c>
      <c r="F470" s="7">
        <f t="shared" si="42"/>
        <v>-2.0204722886418836E-3</v>
      </c>
      <c r="G470" s="2">
        <f t="shared" si="41"/>
        <v>0.33819054078093158</v>
      </c>
      <c r="H470" s="2">
        <f>(SystemConstants!$B$6*F470)+(0.5*SystemConstants!$B$7*SystemConstants!$B$5*Data!E470^2)+(0.5*SystemConstants!$B$7*SystemConstants!$B$2*SystemConstants!$B$3*Data!E470^2)</f>
        <v>11.916458897053094</v>
      </c>
      <c r="I470" s="1"/>
      <c r="J470" s="1"/>
      <c r="K470" s="1"/>
    </row>
    <row r="471" spans="1:11" x14ac:dyDescent="0.45">
      <c r="A471" s="2">
        <f t="shared" si="39"/>
        <v>469</v>
      </c>
      <c r="B471" s="2">
        <f t="shared" si="38"/>
        <v>38.166666666666963</v>
      </c>
      <c r="C471" s="2">
        <f t="shared" si="37"/>
        <v>43.666666666666075</v>
      </c>
      <c r="D471" s="2">
        <v>0</v>
      </c>
      <c r="E471" s="7">
        <f t="shared" si="40"/>
        <v>0.14231740189244135</v>
      </c>
      <c r="F471" s="7">
        <f t="shared" si="42"/>
        <v>-2.0355593961411955E-3</v>
      </c>
      <c r="G471" s="2">
        <f t="shared" si="41"/>
        <v>0.33986222949785222</v>
      </c>
      <c r="H471" s="2">
        <f>(SystemConstants!$B$6*F471)+(0.5*SystemConstants!$B$7*SystemConstants!$B$5*Data!E471^2)+(0.5*SystemConstants!$B$7*SystemConstants!$B$2*SystemConstants!$B$3*Data!E471^2)</f>
        <v>11.5826824702722</v>
      </c>
      <c r="I471" s="1"/>
      <c r="J471" s="1"/>
      <c r="K471" s="1"/>
    </row>
    <row r="472" spans="1:11" x14ac:dyDescent="0.45">
      <c r="A472" s="2">
        <f t="shared" si="39"/>
        <v>470</v>
      </c>
      <c r="B472" s="2">
        <f t="shared" si="38"/>
        <v>38.333333333333627</v>
      </c>
      <c r="C472" s="2">
        <f t="shared" si="37"/>
        <v>43.333333333332746</v>
      </c>
      <c r="D472" s="2">
        <v>0</v>
      </c>
      <c r="E472" s="7">
        <f t="shared" si="40"/>
        <v>0.14026682073613728</v>
      </c>
      <c r="F472" s="7">
        <f t="shared" si="42"/>
        <v>-2.0505811563040766E-3</v>
      </c>
      <c r="G472" s="2">
        <f t="shared" si="41"/>
        <v>0.34152225083564552</v>
      </c>
      <c r="H472" s="2">
        <f>(SystemConstants!$B$6*F472)+(0.5*SystemConstants!$B$7*SystemConstants!$B$5*Data!E472^2)+(0.5*SystemConstants!$B$7*SystemConstants!$B$2*SystemConstants!$B$3*Data!E472^2)</f>
        <v>11.251235533179056</v>
      </c>
      <c r="I472" s="1"/>
      <c r="J472" s="1"/>
      <c r="K472" s="1"/>
    </row>
    <row r="473" spans="1:11" x14ac:dyDescent="0.45">
      <c r="A473" s="2">
        <f t="shared" si="39"/>
        <v>471</v>
      </c>
      <c r="B473" s="2">
        <f t="shared" si="38"/>
        <v>38.500000000000291</v>
      </c>
      <c r="C473" s="2">
        <f t="shared" si="37"/>
        <v>42.999999999999417</v>
      </c>
      <c r="D473" s="2">
        <v>0</v>
      </c>
      <c r="E473" s="7">
        <f t="shared" si="40"/>
        <v>0.13820128928995246</v>
      </c>
      <c r="F473" s="7">
        <f t="shared" si="42"/>
        <v>-2.0655314461848207E-3</v>
      </c>
      <c r="G473" s="2">
        <f t="shared" si="41"/>
        <v>0.3431700187389829</v>
      </c>
      <c r="H473" s="2">
        <f>(SystemConstants!$B$6*F473)+(0.5*SystemConstants!$B$7*SystemConstants!$B$5*Data!E473^2)+(0.5*SystemConstants!$B$7*SystemConstants!$B$2*SystemConstants!$B$3*Data!E473^2)</f>
        <v>10.922235101404899</v>
      </c>
      <c r="I473" s="1"/>
      <c r="J473" s="1"/>
      <c r="K473" s="1"/>
    </row>
    <row r="474" spans="1:11" x14ac:dyDescent="0.45">
      <c r="A474" s="2">
        <f t="shared" si="39"/>
        <v>472</v>
      </c>
      <c r="B474" s="2">
        <f t="shared" si="38"/>
        <v>38.666666666666956</v>
      </c>
      <c r="C474" s="2">
        <f t="shared" si="37"/>
        <v>42.666666666666089</v>
      </c>
      <c r="D474" s="2">
        <v>0</v>
      </c>
      <c r="E474" s="7">
        <f t="shared" si="40"/>
        <v>0.13612088523814947</v>
      </c>
      <c r="F474" s="7">
        <f t="shared" si="42"/>
        <v>-2.0804040518029865E-3</v>
      </c>
      <c r="G474" s="2">
        <f t="shared" si="41"/>
        <v>0.34480494183537352</v>
      </c>
      <c r="H474" s="2">
        <f>(SystemConstants!$B$6*F474)+(0.5*SystemConstants!$B$7*SystemConstants!$B$5*Data!E474^2)+(0.5*SystemConstants!$B$7*SystemConstants!$B$2*SystemConstants!$B$3*Data!E474^2)</f>
        <v>10.595799252275253</v>
      </c>
      <c r="I474" s="1"/>
      <c r="J474" s="1"/>
      <c r="K474" s="1"/>
    </row>
    <row r="475" spans="1:11" x14ac:dyDescent="0.45">
      <c r="A475" s="2">
        <f t="shared" si="39"/>
        <v>473</v>
      </c>
      <c r="B475" s="2">
        <f t="shared" si="38"/>
        <v>38.83333333333362</v>
      </c>
      <c r="C475" s="2">
        <f t="shared" si="37"/>
        <v>42.33333333333276</v>
      </c>
      <c r="D475" s="2">
        <v>0</v>
      </c>
      <c r="E475" s="7">
        <f t="shared" si="40"/>
        <v>0.13402569256608388</v>
      </c>
      <c r="F475" s="7">
        <f t="shared" si="42"/>
        <v>-2.0951926720655933E-3</v>
      </c>
      <c r="G475" s="2">
        <f t="shared" si="41"/>
        <v>0.34642642380193328</v>
      </c>
      <c r="H475" s="2">
        <f>(SystemConstants!$B$6*F475)+(0.5*SystemConstants!$B$7*SystemConstants!$B$5*Data!E475^2)+(0.5*SystemConstants!$B$7*SystemConstants!$B$2*SystemConstants!$B$3*Data!E475^2)</f>
        <v>10.272047051500705</v>
      </c>
      <c r="I475" s="1"/>
      <c r="J475" s="1"/>
      <c r="K475" s="1"/>
    </row>
    <row r="476" spans="1:11" x14ac:dyDescent="0.45">
      <c r="A476" s="2">
        <f t="shared" si="39"/>
        <v>474</v>
      </c>
      <c r="B476" s="2">
        <f t="shared" si="38"/>
        <v>39.000000000000284</v>
      </c>
      <c r="C476" s="2">
        <f t="shared" si="37"/>
        <v>41.999999999999432</v>
      </c>
      <c r="D476" s="2">
        <v>0</v>
      </c>
      <c r="E476" s="7">
        <f t="shared" si="40"/>
        <v>0.13191580164333061</v>
      </c>
      <c r="F476" s="7">
        <f t="shared" si="42"/>
        <v>-2.1098909227532658E-3</v>
      </c>
      <c r="G476" s="2">
        <f t="shared" si="41"/>
        <v>0.34803386374958267</v>
      </c>
      <c r="H476" s="2">
        <f>(SystemConstants!$B$6*F476)+(0.5*SystemConstants!$B$7*SystemConstants!$B$5*Data!E476^2)+(0.5*SystemConstants!$B$7*SystemConstants!$B$2*SystemConstants!$B$3*Data!E476^2)</f>
        <v>9.9510984764937902</v>
      </c>
      <c r="I476" s="1"/>
      <c r="J476" s="1"/>
      <c r="K476" s="1"/>
    </row>
    <row r="477" spans="1:11" x14ac:dyDescent="0.45">
      <c r="A477" s="2">
        <f t="shared" si="39"/>
        <v>475</v>
      </c>
      <c r="B477" s="2">
        <f t="shared" si="38"/>
        <v>39.166666666666949</v>
      </c>
      <c r="C477" s="2">
        <f t="shared" si="37"/>
        <v>41.666666666666103</v>
      </c>
      <c r="D477" s="2">
        <v>0</v>
      </c>
      <c r="E477" s="7">
        <f t="shared" si="40"/>
        <v>0.1297913093025187</v>
      </c>
      <c r="F477" s="7">
        <f t="shared" si="42"/>
        <v>-2.1244923408119121E-3</v>
      </c>
      <c r="G477" s="2">
        <f t="shared" si="41"/>
        <v>0.34962665662859344</v>
      </c>
      <c r="H477" s="2">
        <f>(SystemConstants!$B$6*F477)+(0.5*SystemConstants!$B$7*SystemConstants!$B$5*Data!E477^2)+(0.5*SystemConstants!$B$7*SystemConstants!$B$2*SystemConstants!$B$3*Data!E477^2)</f>
        <v>9.6330743363245315</v>
      </c>
      <c r="I477" s="1"/>
      <c r="J477" s="1"/>
      <c r="K477" s="1"/>
    </row>
    <row r="478" spans="1:11" x14ac:dyDescent="0.45">
      <c r="A478" s="2">
        <f t="shared" si="39"/>
        <v>476</v>
      </c>
      <c r="B478" s="2">
        <f t="shared" si="38"/>
        <v>39.333333333333613</v>
      </c>
      <c r="C478" s="2">
        <f t="shared" si="37"/>
        <v>41.333333333332774</v>
      </c>
      <c r="D478" s="2">
        <v>0</v>
      </c>
      <c r="E478" s="7">
        <f t="shared" si="40"/>
        <v>0.12765231891357587</v>
      </c>
      <c r="F478" s="7">
        <f t="shared" si="42"/>
        <v>-2.1389903889428297E-3</v>
      </c>
      <c r="G478" s="2">
        <f t="shared" si="41"/>
        <v>0.35120419363594096</v>
      </c>
      <c r="H478" s="2">
        <f>(SystemConstants!$B$6*F478)+(0.5*SystemConstants!$B$7*SystemConstants!$B$5*Data!E478^2)+(0.5*SystemConstants!$B$7*SystemConstants!$B$2*SystemConstants!$B$3*Data!E478^2)</f>
        <v>9.3180961883383144</v>
      </c>
      <c r="I478" s="1"/>
      <c r="J478" s="1"/>
      <c r="K478" s="1"/>
    </row>
    <row r="479" spans="1:11" x14ac:dyDescent="0.45">
      <c r="A479" s="2">
        <f t="shared" si="39"/>
        <v>477</v>
      </c>
      <c r="B479" s="2">
        <f t="shared" si="38"/>
        <v>39.500000000000277</v>
      </c>
      <c r="C479" s="2">
        <f t="shared" si="37"/>
        <v>40.999999999999446</v>
      </c>
      <c r="D479" s="2">
        <v>0</v>
      </c>
      <c r="E479" s="7">
        <f t="shared" si="40"/>
        <v>0.12549894045313437</v>
      </c>
      <c r="F479" s="7">
        <f t="shared" si="42"/>
        <v>-2.1533784604415018E-3</v>
      </c>
      <c r="G479" s="2">
        <f t="shared" si="41"/>
        <v>0.35276586265779597</v>
      </c>
      <c r="H479" s="2">
        <f>(SystemConstants!$B$6*F479)+(0.5*SystemConstants!$B$7*SystemConstants!$B$5*Data!E479^2)+(0.5*SystemConstants!$B$7*SystemConstants!$B$2*SystemConstants!$B$3*Data!E479^2)</f>
        <v>9.0062862514771957</v>
      </c>
      <c r="I479" s="1"/>
      <c r="J479" s="1"/>
      <c r="K479" s="1"/>
    </row>
    <row r="480" spans="1:11" x14ac:dyDescent="0.45">
      <c r="A480" s="2">
        <f t="shared" si="39"/>
        <v>478</v>
      </c>
      <c r="B480" s="2">
        <f t="shared" si="38"/>
        <v>39.666666666666941</v>
      </c>
      <c r="C480" s="2">
        <f t="shared" si="37"/>
        <v>40.666666666666117</v>
      </c>
      <c r="D480" s="2">
        <v>0</v>
      </c>
      <c r="E480" s="7">
        <f t="shared" si="40"/>
        <v>0.12333129056910508</v>
      </c>
      <c r="F480" s="7">
        <f t="shared" si="42"/>
        <v>-2.1676498840292879E-3</v>
      </c>
      <c r="G480" s="2">
        <f t="shared" si="41"/>
        <v>0.35431104872238445</v>
      </c>
      <c r="H480" s="2">
        <f>(SystemConstants!$B$6*F480)+(0.5*SystemConstants!$B$7*SystemConstants!$B$5*Data!E480^2)+(0.5*SystemConstants!$B$7*SystemConstants!$B$2*SystemConstants!$B$3*Data!E480^2)</f>
        <v>8.6977673163910687</v>
      </c>
      <c r="I480" s="1"/>
      <c r="J480" s="1"/>
      <c r="K480" s="1"/>
    </row>
    <row r="481" spans="1:11" x14ac:dyDescent="0.45">
      <c r="A481" s="2">
        <f t="shared" si="39"/>
        <v>479</v>
      </c>
      <c r="B481" s="2">
        <f t="shared" si="38"/>
        <v>39.833333333333606</v>
      </c>
      <c r="C481" s="2">
        <f t="shared" si="37"/>
        <v>40.333333333332789</v>
      </c>
      <c r="D481" s="2">
        <v>0</v>
      </c>
      <c r="E481" s="7">
        <f t="shared" si="40"/>
        <v>0.12114949263958863</v>
      </c>
      <c r="F481" s="7">
        <f t="shared" si="42"/>
        <v>-2.1817979295164491E-3</v>
      </c>
      <c r="G481" s="2">
        <f t="shared" si="41"/>
        <v>0.35583913445296234</v>
      </c>
      <c r="H481" s="2">
        <f>(SystemConstants!$B$6*F481)+(0.5*SystemConstants!$B$7*SystemConstants!$B$5*Data!E481^2)+(0.5*SystemConstants!$B$7*SystemConstants!$B$2*SystemConstants!$B$3*Data!E481^2)</f>
        <v>8.3926626523122554</v>
      </c>
      <c r="I481" s="1"/>
      <c r="J481" s="1"/>
      <c r="K481" s="1"/>
    </row>
    <row r="482" spans="1:11" x14ac:dyDescent="0.45">
      <c r="A482" s="2">
        <f t="shared" si="39"/>
        <v>480</v>
      </c>
      <c r="B482" s="2">
        <f t="shared" si="38"/>
        <v>40.00000000000027</v>
      </c>
      <c r="C482" s="2">
        <f t="shared" si="37"/>
        <v>39.99999999999946</v>
      </c>
      <c r="D482" s="2">
        <v>0</v>
      </c>
      <c r="E482" s="7">
        <f t="shared" si="40"/>
        <v>0.11895367682664215</v>
      </c>
      <c r="F482" s="7">
        <f t="shared" si="42"/>
        <v>-2.1958158129464778E-3</v>
      </c>
      <c r="G482" s="2">
        <f t="shared" si="41"/>
        <v>0.35734950056302789</v>
      </c>
      <c r="H482" s="2">
        <f>(SystemConstants!$B$6*F482)+(0.5*SystemConstants!$B$7*SystemConstants!$B$5*Data!E482^2)+(0.5*SystemConstants!$B$7*SystemConstants!$B$2*SystemConstants!$B$3*Data!E482^2)</f>
        <v>8.091095910874154</v>
      </c>
      <c r="I482" s="1"/>
      <c r="J482" s="1"/>
      <c r="K482" s="1"/>
    </row>
    <row r="483" spans="1:11" x14ac:dyDescent="0.45">
      <c r="A483" s="2">
        <f t="shared" si="39"/>
        <v>481</v>
      </c>
      <c r="B483" s="2">
        <f t="shared" si="38"/>
        <v>40.166666666666934</v>
      </c>
      <c r="C483" s="2">
        <f t="shared" si="37"/>
        <v>39.666666666666131</v>
      </c>
      <c r="D483" s="2">
        <v>0</v>
      </c>
      <c r="E483" s="7">
        <f t="shared" si="40"/>
        <v>0.11674398012397091</v>
      </c>
      <c r="F483" s="7">
        <f t="shared" si="42"/>
        <v>-2.2096967026712377E-3</v>
      </c>
      <c r="G483" s="2">
        <f t="shared" si="41"/>
        <v>0.35884152634814986</v>
      </c>
      <c r="H483" s="2">
        <f>(SystemConstants!$B$6*F483)+(0.5*SystemConstants!$B$7*SystemConstants!$B$5*Data!E483^2)+(0.5*SystemConstants!$B$7*SystemConstants!$B$2*SystemConstants!$B$3*Data!E483^2)</f>
        <v>7.7931910268524556</v>
      </c>
      <c r="I483" s="1"/>
      <c r="J483" s="1"/>
      <c r="K483" s="1"/>
    </row>
    <row r="484" spans="1:11" x14ac:dyDescent="0.45">
      <c r="A484" s="2">
        <f t="shared" si="39"/>
        <v>482</v>
      </c>
      <c r="B484" s="2">
        <f t="shared" si="38"/>
        <v>40.333333333333599</v>
      </c>
      <c r="C484" s="2">
        <f t="shared" si="37"/>
        <v>39.333333333332803</v>
      </c>
      <c r="D484" s="2">
        <v>0</v>
      </c>
      <c r="E484" s="7">
        <f t="shared" si="40"/>
        <v>0.11452054639875087</v>
      </c>
      <c r="F484" s="7">
        <f t="shared" si="42"/>
        <v>-2.2234337252200476E-3</v>
      </c>
      <c r="G484" s="2">
        <f t="shared" si="41"/>
        <v>0.36031459019598872</v>
      </c>
      <c r="H484" s="2">
        <f>(SystemConstants!$B$6*F484)+(0.5*SystemConstants!$B$7*SystemConstants!$B$5*Data!E484^2)+(0.5*SystemConstants!$B$7*SystemConstants!$B$2*SystemConstants!$B$3*Data!E484^2)</f>
        <v>7.499072115982572</v>
      </c>
      <c r="I484" s="1"/>
      <c r="J484" s="1"/>
      <c r="K484" s="1"/>
    </row>
    <row r="485" spans="1:11" x14ac:dyDescent="0.45">
      <c r="A485" s="2">
        <f t="shared" si="39"/>
        <v>483</v>
      </c>
      <c r="B485" s="2">
        <f t="shared" si="38"/>
        <v>40.500000000000263</v>
      </c>
      <c r="C485" s="2">
        <f t="shared" si="37"/>
        <v>38.999999999999474</v>
      </c>
      <c r="D485" s="2">
        <v>0</v>
      </c>
      <c r="E485" s="7">
        <f t="shared" si="40"/>
        <v>0.11228352642712736</v>
      </c>
      <c r="F485" s="7">
        <f t="shared" si="42"/>
        <v>-2.2370199716235106E-3</v>
      </c>
      <c r="G485" s="2">
        <f t="shared" si="41"/>
        <v>0.3617680701157952</v>
      </c>
      <c r="H485" s="2">
        <f>(SystemConstants!$B$6*F485)+(0.5*SystemConstants!$B$7*SystemConstants!$B$5*Data!E485^2)+(0.5*SystemConstants!$B$7*SystemConstants!$B$2*SystemConstants!$B$3*Data!E485^2)</f>
        <v>7.2088633699209606</v>
      </c>
      <c r="I485" s="1"/>
      <c r="J485" s="1"/>
      <c r="K485" s="1"/>
    </row>
    <row r="486" spans="1:11" x14ac:dyDescent="0.45">
      <c r="A486" s="2">
        <f t="shared" si="39"/>
        <v>484</v>
      </c>
      <c r="B486" s="2">
        <f t="shared" si="38"/>
        <v>40.666666666666927</v>
      </c>
      <c r="C486" s="2">
        <f t="shared" si="37"/>
        <v>38.666666666666146</v>
      </c>
      <c r="D486" s="2">
        <v>0</v>
      </c>
      <c r="E486" s="7">
        <f t="shared" si="40"/>
        <v>0.11003307792336159</v>
      </c>
      <c r="F486" s="7">
        <f t="shared" si="42"/>
        <v>-2.2504485037657673E-3</v>
      </c>
      <c r="G486" s="2">
        <f t="shared" si="41"/>
        <v>0.36320134427597489</v>
      </c>
      <c r="H486" s="2">
        <f>(SystemConstants!$B$6*F486)+(0.5*SystemConstants!$B$7*SystemConstants!$B$5*Data!E486^2)+(0.5*SystemConstants!$B$7*SystemConstants!$B$2*SystemConstants!$B$3*Data!E486^2)</f>
        <v>6.9226889484869867</v>
      </c>
      <c r="I486" s="1"/>
      <c r="J486" s="1"/>
      <c r="K486" s="1"/>
    </row>
    <row r="487" spans="1:11" x14ac:dyDescent="0.45">
      <c r="A487" s="2">
        <f t="shared" si="39"/>
        <v>485</v>
      </c>
      <c r="B487" s="2">
        <f t="shared" si="38"/>
        <v>40.833333333333591</v>
      </c>
      <c r="C487" s="2">
        <f t="shared" si="37"/>
        <v>38.333333333332817</v>
      </c>
      <c r="D487" s="2">
        <v>0</v>
      </c>
      <c r="E487" s="7">
        <f t="shared" si="40"/>
        <v>0.10776936556205641</v>
      </c>
      <c r="F487" s="7">
        <f t="shared" si="42"/>
        <v>-2.2637123613051813E-3</v>
      </c>
      <c r="G487" s="2">
        <f t="shared" si="41"/>
        <v>0.36461379155525314</v>
      </c>
      <c r="H487" s="2">
        <f>(SystemConstants!$B$6*F487)+(0.5*SystemConstants!$B$7*SystemConstants!$B$5*Data!E487^2)+(0.5*SystemConstants!$B$7*SystemConstants!$B$2*SystemConstants!$B$3*Data!E487^2)</f>
        <v>6.640672869260059</v>
      </c>
      <c r="I487" s="1"/>
      <c r="J487" s="1"/>
      <c r="K487" s="1"/>
    </row>
    <row r="488" spans="1:11" x14ac:dyDescent="0.45">
      <c r="A488" s="2">
        <f t="shared" si="39"/>
        <v>486</v>
      </c>
      <c r="B488" s="2">
        <f t="shared" si="38"/>
        <v>41.000000000000256</v>
      </c>
      <c r="C488" s="2">
        <f t="shared" si="37"/>
        <v>37.999999999999488</v>
      </c>
      <c r="D488" s="2">
        <v>0</v>
      </c>
      <c r="E488" s="7">
        <f t="shared" si="40"/>
        <v>0.10549256099376692</v>
      </c>
      <c r="F488" s="7">
        <f t="shared" si="42"/>
        <v>-2.2768045682894922E-3</v>
      </c>
      <c r="G488" s="2">
        <f t="shared" si="41"/>
        <v>0.3660047921196275</v>
      </c>
      <c r="H488" s="2">
        <f>(SystemConstants!$B$6*F488)+(0.5*SystemConstants!$B$7*SystemConstants!$B$5*Data!E488^2)+(0.5*SystemConstants!$B$7*SystemConstants!$B$2*SystemConstants!$B$3*Data!E488^2)</f>
        <v>6.3629388947303536</v>
      </c>
      <c r="I488" s="1"/>
      <c r="J488" s="1"/>
      <c r="K488" s="1"/>
    </row>
    <row r="489" spans="1:11" x14ac:dyDescent="0.45">
      <c r="A489" s="2">
        <f t="shared" si="39"/>
        <v>487</v>
      </c>
      <c r="B489" s="2">
        <f t="shared" si="38"/>
        <v>41.16666666666692</v>
      </c>
      <c r="C489" s="2">
        <f t="shared" si="37"/>
        <v>37.66666666666616</v>
      </c>
      <c r="D489" s="2">
        <v>0</v>
      </c>
      <c r="E489" s="7">
        <f t="shared" si="40"/>
        <v>0.10320284285320724</v>
      </c>
      <c r="F489" s="7">
        <f t="shared" si="42"/>
        <v>-2.2897181405596712E-3</v>
      </c>
      <c r="G489" s="2">
        <f t="shared" si="41"/>
        <v>0.36737372797466478</v>
      </c>
      <c r="H489" s="2">
        <f>(SystemConstants!$B$6*F489)+(0.5*SystemConstants!$B$7*SystemConstants!$B$5*Data!E489^2)+(0.5*SystemConstants!$B$7*SystemConstants!$B$2*SystemConstants!$B$3*Data!E489^2)</f>
        <v>6.0896104170691139</v>
      </c>
      <c r="I489" s="1"/>
      <c r="J489" s="1"/>
      <c r="K489" s="1"/>
    </row>
    <row r="490" spans="1:11" x14ac:dyDescent="0.45">
      <c r="A490" s="2">
        <f t="shared" si="39"/>
        <v>488</v>
      </c>
      <c r="B490" s="2">
        <f t="shared" si="38"/>
        <v>41.333333333333584</v>
      </c>
      <c r="C490" s="2">
        <f t="shared" si="37"/>
        <v>37.333333333332831</v>
      </c>
      <c r="D490" s="2">
        <v>0</v>
      </c>
      <c r="E490" s="7">
        <f t="shared" si="40"/>
        <v>0.10090039676039453</v>
      </c>
      <c r="F490" s="7">
        <f t="shared" si="42"/>
        <v>-2.3024460928127155E-3</v>
      </c>
      <c r="G490" s="2">
        <f t="shared" si="41"/>
        <v>0.36871998358120545</v>
      </c>
      <c r="H490" s="2">
        <f>(SystemConstants!$B$6*F490)+(0.5*SystemConstants!$B$7*SystemConstants!$B$5*Data!E490^2)+(0.5*SystemConstants!$B$7*SystemConstants!$B$2*SystemConstants!$B$3*Data!E490^2)</f>
        <v>5.820810340738543</v>
      </c>
      <c r="I490" s="1"/>
      <c r="J490" s="1"/>
      <c r="K490" s="1"/>
    </row>
    <row r="491" spans="1:11" x14ac:dyDescent="0.45">
      <c r="A491" s="2">
        <f t="shared" si="39"/>
        <v>489</v>
      </c>
      <c r="B491" s="2">
        <f t="shared" si="38"/>
        <v>41.500000000000249</v>
      </c>
      <c r="C491" s="2">
        <f t="shared" si="37"/>
        <v>36.999999999999503</v>
      </c>
      <c r="D491" s="2">
        <v>0</v>
      </c>
      <c r="E491" s="7">
        <f t="shared" si="40"/>
        <v>9.8585415314140334E-2</v>
      </c>
      <c r="F491" s="7">
        <f t="shared" si="42"/>
        <v>-2.314981446254194E-3</v>
      </c>
      <c r="G491" s="2">
        <f t="shared" si="41"/>
        <v>0.37004294644157809</v>
      </c>
      <c r="H491" s="2">
        <f>(SystemConstants!$B$6*F491)+(0.5*SystemConstants!$B$7*SystemConstants!$B$5*Data!E491^2)+(0.5*SystemConstants!$B$7*SystemConstants!$B$2*SystemConstants!$B$3*Data!E491^2)</f>
        <v>5.5566609630522006</v>
      </c>
      <c r="I491" s="1"/>
      <c r="J491" s="1"/>
      <c r="K491" s="1"/>
    </row>
    <row r="492" spans="1:11" x14ac:dyDescent="0.45">
      <c r="A492" s="2">
        <f t="shared" si="39"/>
        <v>490</v>
      </c>
      <c r="B492" s="2">
        <f t="shared" si="38"/>
        <v>41.666666666666913</v>
      </c>
      <c r="C492" s="2">
        <f t="shared" ref="C492:C542" si="43">-2*B492+120</f>
        <v>36.666666666666174</v>
      </c>
      <c r="D492" s="2">
        <v>0</v>
      </c>
      <c r="E492" s="7">
        <f t="shared" si="40"/>
        <v>9.6258098077932175E-2</v>
      </c>
      <c r="F492" s="7">
        <f t="shared" si="42"/>
        <v>-2.3273172362081596E-3</v>
      </c>
      <c r="G492" s="2">
        <f t="shared" si="41"/>
        <v>0.37134200769685682</v>
      </c>
      <c r="H492" s="2">
        <f>(SystemConstants!$B$6*F492)+(0.5*SystemConstants!$B$7*SystemConstants!$B$5*Data!E492^2)+(0.5*SystemConstants!$B$7*SystemConstants!$B$2*SystemConstants!$B$3*Data!E492^2)</f>
        <v>5.2972838528854203</v>
      </c>
      <c r="I492" s="1"/>
      <c r="J492" s="1"/>
      <c r="K492" s="1"/>
    </row>
    <row r="493" spans="1:11" x14ac:dyDescent="0.45">
      <c r="A493" s="2">
        <f t="shared" si="39"/>
        <v>491</v>
      </c>
      <c r="B493" s="2">
        <f t="shared" ref="B493:B542" si="44">B492+(30/180)</f>
        <v>41.833333333333577</v>
      </c>
      <c r="C493" s="2">
        <f t="shared" si="43"/>
        <v>36.333333333332845</v>
      </c>
      <c r="D493" s="2">
        <v>0</v>
      </c>
      <c r="E493" s="7">
        <f t="shared" si="40"/>
        <v>9.391865155807011E-2</v>
      </c>
      <c r="F493" s="7">
        <f t="shared" si="42"/>
        <v>-2.3394465198620651E-3</v>
      </c>
      <c r="G493" s="2">
        <f t="shared" si="41"/>
        <v>0.37261656275948596</v>
      </c>
      <c r="H493" s="2">
        <f>(SystemConstants!$B$6*F493)+(0.5*SystemConstants!$B$7*SystemConstants!$B$5*Data!E493^2)+(0.5*SystemConstants!$B$7*SystemConstants!$B$2*SystemConstants!$B$3*Data!E493^2)</f>
        <v>5.0427997277193688</v>
      </c>
      <c r="I493" s="1"/>
      <c r="J493" s="1"/>
      <c r="K493" s="1"/>
    </row>
    <row r="494" spans="1:11" x14ac:dyDescent="0.45">
      <c r="A494" s="2">
        <f t="shared" si="39"/>
        <v>492</v>
      </c>
      <c r="B494" s="2">
        <f t="shared" si="44"/>
        <v>42.000000000000242</v>
      </c>
      <c r="C494" s="2">
        <f t="shared" si="43"/>
        <v>35.999999999999517</v>
      </c>
      <c r="D494" s="2">
        <v>0</v>
      </c>
      <c r="E494" s="7">
        <f t="shared" si="40"/>
        <v>9.156728917363921E-2</v>
      </c>
      <c r="F494" s="7">
        <f t="shared" si="42"/>
        <v>-2.3513623844308995E-3</v>
      </c>
      <c r="G494" s="2">
        <f t="shared" si="41"/>
        <v>0.37386601192887037</v>
      </c>
      <c r="H494" s="2">
        <f>(SystemConstants!$B$6*F494)+(0.5*SystemConstants!$B$7*SystemConstants!$B$5*Data!E494^2)+(0.5*SystemConstants!$B$7*SystemConstants!$B$2*SystemConstants!$B$3*Data!E494^2)</f>
        <v>4.7933283291802082</v>
      </c>
      <c r="I494" s="1"/>
      <c r="J494" s="1"/>
      <c r="K494" s="1"/>
    </row>
    <row r="495" spans="1:11" x14ac:dyDescent="0.45">
      <c r="A495" s="2">
        <f t="shared" si="39"/>
        <v>493</v>
      </c>
      <c r="B495" s="2">
        <f t="shared" si="44"/>
        <v>42.166666666666906</v>
      </c>
      <c r="C495" s="2">
        <f t="shared" si="43"/>
        <v>35.666666666666188</v>
      </c>
      <c r="D495" s="2">
        <v>0</v>
      </c>
      <c r="E495" s="7">
        <f t="shared" si="40"/>
        <v>8.9204231218559471E-2</v>
      </c>
      <c r="F495" s="7">
        <f t="shared" si="42"/>
        <v>-2.3630579550797393E-3</v>
      </c>
      <c r="G495" s="2">
        <f t="shared" si="41"/>
        <v>0.3750897610214306</v>
      </c>
      <c r="H495" s="2">
        <f>(SystemConstants!$B$6*F495)+(0.5*SystemConstants!$B$7*SystemConstants!$B$5*Data!E495^2)+(0.5*SystemConstants!$B$7*SystemConstants!$B$2*SystemConstants!$B$3*Data!E495^2)</f>
        <v>4.5489882973168587</v>
      </c>
      <c r="I495" s="1"/>
      <c r="J495" s="1"/>
      <c r="K495" s="1"/>
    </row>
    <row r="496" spans="1:11" x14ac:dyDescent="0.45">
      <c r="A496" s="2">
        <f t="shared" si="39"/>
        <v>494</v>
      </c>
      <c r="B496" s="2">
        <f t="shared" si="44"/>
        <v>42.33333333333357</v>
      </c>
      <c r="C496" s="2">
        <f t="shared" si="43"/>
        <v>35.33333333333286</v>
      </c>
      <c r="D496" s="2">
        <v>0</v>
      </c>
      <c r="E496" s="7">
        <f t="shared" si="40"/>
        <v>8.6829704815322373E-2</v>
      </c>
      <c r="F496" s="7">
        <f t="shared" si="42"/>
        <v>-2.3745264032370983E-3</v>
      </c>
      <c r="G496" s="2">
        <f t="shared" si="41"/>
        <v>0.37628722200243891</v>
      </c>
      <c r="H496" s="2">
        <f>(SystemConstants!$B$6*F496)+(0.5*SystemConstants!$B$7*SystemConstants!$B$5*Data!E496^2)+(0.5*SystemConstants!$B$7*SystemConstants!$B$2*SystemConstants!$B$3*Data!E496^2)</f>
        <v>4.3098970437961839</v>
      </c>
      <c r="I496" s="1"/>
      <c r="J496" s="1"/>
      <c r="K496" s="1"/>
    </row>
    <row r="497" spans="1:11" x14ac:dyDescent="0.45">
      <c r="A497" s="2">
        <f t="shared" si="39"/>
        <v>495</v>
      </c>
      <c r="B497" s="2">
        <f t="shared" si="44"/>
        <v>42.500000000000234</v>
      </c>
      <c r="C497" s="2">
        <f t="shared" si="43"/>
        <v>34.999999999999531</v>
      </c>
      <c r="D497" s="2">
        <v>0</v>
      </c>
      <c r="E497" s="7">
        <f t="shared" si="40"/>
        <v>8.4443943860328829E-2</v>
      </c>
      <c r="F497" s="7">
        <f t="shared" si="42"/>
        <v>-2.3857609549935432E-3</v>
      </c>
      <c r="G497" s="2">
        <f t="shared" si="41"/>
        <v>0.37745781363630299</v>
      </c>
      <c r="H497" s="2">
        <f>(SystemConstants!$B$6*F497)+(0.5*SystemConstants!$B$7*SystemConstants!$B$5*Data!E497^2)+(0.5*SystemConstants!$B$7*SystemConstants!$B$2*SystemConstants!$B$3*Data!E497^2)</f>
        <v>4.0761706242376947</v>
      </c>
      <c r="I497" s="1"/>
      <c r="J497" s="1"/>
      <c r="K497" s="1"/>
    </row>
    <row r="498" spans="1:11" x14ac:dyDescent="0.45">
      <c r="A498" s="2">
        <f t="shared" si="39"/>
        <v>496</v>
      </c>
      <c r="B498" s="2">
        <f t="shared" si="44"/>
        <v>42.666666666666899</v>
      </c>
      <c r="C498" s="2">
        <f t="shared" si="43"/>
        <v>34.666666666666202</v>
      </c>
      <c r="D498" s="2">
        <v>0</v>
      </c>
      <c r="E498" s="7">
        <f t="shared" si="40"/>
        <v>8.2047188960956419E-2</v>
      </c>
      <c r="F498" s="7">
        <f t="shared" si="42"/>
        <v>-2.3967548993724108E-3</v>
      </c>
      <c r="G498" s="2">
        <f t="shared" si="41"/>
        <v>0.37860096211471272</v>
      </c>
      <c r="H498" s="2">
        <f>(SystemConstants!$B$6*F498)+(0.5*SystemConstants!$B$7*SystemConstants!$B$5*Data!E498^2)+(0.5*SystemConstants!$B$7*SystemConstants!$B$2*SystemConstants!$B$3*Data!E498^2)</f>
        <v>3.84792360993593</v>
      </c>
      <c r="I498" s="1"/>
      <c r="J498" s="1"/>
      <c r="K498" s="1"/>
    </row>
    <row r="499" spans="1:11" x14ac:dyDescent="0.45">
      <c r="A499" s="2">
        <f t="shared" si="39"/>
        <v>497</v>
      </c>
      <c r="B499" s="2">
        <f t="shared" si="44"/>
        <v>42.833333333333563</v>
      </c>
      <c r="C499" s="2">
        <f t="shared" si="43"/>
        <v>34.333333333332874</v>
      </c>
      <c r="D499" s="2">
        <v>0</v>
      </c>
      <c r="E499" s="7">
        <f t="shared" si="40"/>
        <v>7.9639687363922462E-2</v>
      </c>
      <c r="F499" s="7">
        <f t="shared" si="42"/>
        <v>-2.4075015970339564E-3</v>
      </c>
      <c r="G499" s="2">
        <f t="shared" si="41"/>
        <v>0.37971610171053677</v>
      </c>
      <c r="H499" s="2">
        <f>(SystemConstants!$B$6*F499)+(0.5*SystemConstants!$B$7*SystemConstants!$B$5*Data!E499^2)+(0.5*SystemConstants!$B$7*SystemConstants!$B$2*SystemConstants!$B$3*Data!E499^2)</f>
        <v>3.6252689591679803</v>
      </c>
      <c r="I499" s="1"/>
      <c r="J499" s="1"/>
      <c r="K499" s="1"/>
    </row>
    <row r="500" spans="1:11" x14ac:dyDescent="0.45">
      <c r="A500" s="2">
        <f t="shared" si="39"/>
        <v>498</v>
      </c>
      <c r="B500" s="2">
        <f t="shared" si="44"/>
        <v>43.000000000000227</v>
      </c>
      <c r="C500" s="2">
        <f t="shared" si="43"/>
        <v>33.999999999999545</v>
      </c>
      <c r="D500" s="2">
        <v>0</v>
      </c>
      <c r="E500" s="7">
        <f t="shared" si="40"/>
        <v>7.7221692875227177E-2</v>
      </c>
      <c r="F500" s="7">
        <f t="shared" si="42"/>
        <v>-2.4179944886952853E-3</v>
      </c>
      <c r="G500" s="2">
        <f t="shared" si="41"/>
        <v>0.38080267541900958</v>
      </c>
      <c r="H500" s="2">
        <f>(SystemConstants!$B$6*F500)+(0.5*SystemConstants!$B$7*SystemConstants!$B$5*Data!E500^2)+(0.5*SystemConstants!$B$7*SystemConstants!$B$2*SystemConstants!$B$3*Data!E500^2)</f>
        <v>3.4083178883616383</v>
      </c>
      <c r="I500" s="1"/>
      <c r="J500" s="1"/>
      <c r="K500" s="1"/>
    </row>
    <row r="501" spans="1:11" x14ac:dyDescent="0.45">
      <c r="A501" s="2">
        <f t="shared" si="39"/>
        <v>499</v>
      </c>
      <c r="B501" s="2">
        <f t="shared" si="44"/>
        <v>43.166666666666892</v>
      </c>
      <c r="C501" s="2">
        <f t="shared" si="43"/>
        <v>33.666666666666217</v>
      </c>
      <c r="D501" s="2">
        <v>0</v>
      </c>
      <c r="E501" s="7">
        <f t="shared" si="40"/>
        <v>7.479346577146373E-2</v>
      </c>
      <c r="F501" s="7">
        <f t="shared" si="42"/>
        <v>-2.4282271037634473E-3</v>
      </c>
      <c r="G501" s="2">
        <f t="shared" si="41"/>
        <v>0.38186013561193355</v>
      </c>
      <c r="H501" s="2">
        <f>(SystemConstants!$B$6*F501)+(0.5*SystemConstants!$B$7*SystemConstants!$B$5*Data!E501^2)+(0.5*SystemConstants!$B$7*SystemConstants!$B$2*SystemConstants!$B$3*Data!E501^2)</f>
        <v>3.1971797433532338</v>
      </c>
      <c r="I501" s="1"/>
      <c r="J501" s="1"/>
      <c r="K501" s="1"/>
    </row>
    <row r="502" spans="1:11" x14ac:dyDescent="0.45">
      <c r="A502" s="2">
        <f t="shared" si="39"/>
        <v>500</v>
      </c>
      <c r="B502" s="2">
        <f t="shared" si="44"/>
        <v>43.333333333333556</v>
      </c>
      <c r="C502" s="2">
        <f t="shared" si="43"/>
        <v>33.333333333332888</v>
      </c>
      <c r="D502" s="2">
        <v>0</v>
      </c>
      <c r="E502" s="7">
        <f t="shared" si="40"/>
        <v>7.2355272702424145E-2</v>
      </c>
      <c r="F502" s="7">
        <f t="shared" si="42"/>
        <v>-2.4381930690395848E-3</v>
      </c>
      <c r="G502" s="2">
        <f t="shared" si="41"/>
        <v>0.38288794465918463</v>
      </c>
      <c r="H502" s="2">
        <f>(SystemConstants!$B$6*F502)+(0.5*SystemConstants!$B$7*SystemConstants!$B$5*Data!E502^2)+(0.5*SystemConstants!$B$7*SystemConstants!$B$2*SystemConstants!$B$3*Data!E502^2)</f>
        <v>2.9919618709846039</v>
      </c>
      <c r="I502" s="1"/>
      <c r="J502" s="1"/>
      <c r="K502" s="1"/>
    </row>
    <row r="503" spans="1:11" x14ac:dyDescent="0.45">
      <c r="A503" s="2">
        <f t="shared" si="39"/>
        <v>501</v>
      </c>
      <c r="B503" s="2">
        <f t="shared" si="44"/>
        <v>43.50000000000022</v>
      </c>
      <c r="C503" s="2">
        <f t="shared" si="43"/>
        <v>32.999999999999559</v>
      </c>
      <c r="D503" s="2">
        <v>0</v>
      </c>
      <c r="E503" s="7">
        <f t="shared" si="40"/>
        <v>6.990738658519291E-2</v>
      </c>
      <c r="F503" s="7">
        <f t="shared" si="42"/>
        <v>-2.4478861172312349E-3</v>
      </c>
      <c r="G503" s="2">
        <f t="shared" si="41"/>
        <v>0.38388557559390635</v>
      </c>
      <c r="H503" s="2">
        <f>(SystemConstants!$B$6*F503)+(0.5*SystemConstants!$B$7*SystemConstants!$B$5*Data!E503^2)+(0.5*SystemConstants!$B$7*SystemConstants!$B$2*SystemConstants!$B$3*Data!E503^2)</f>
        <v>2.7927694913144583</v>
      </c>
      <c r="I503" s="1"/>
      <c r="J503" s="1"/>
      <c r="K503" s="1"/>
    </row>
    <row r="504" spans="1:11" x14ac:dyDescent="0.45">
      <c r="A504" s="2">
        <f t="shared" si="39"/>
        <v>502</v>
      </c>
      <c r="B504" s="2">
        <f t="shared" si="44"/>
        <v>43.666666666666885</v>
      </c>
      <c r="C504" s="2">
        <f t="shared" si="43"/>
        <v>32.666666666666231</v>
      </c>
      <c r="D504" s="2">
        <v>0</v>
      </c>
      <c r="E504" s="7">
        <f t="shared" si="40"/>
        <v>6.7450086489522221E-2</v>
      </c>
      <c r="F504" s="7">
        <f t="shared" si="42"/>
        <v>-2.4573000956706892E-3</v>
      </c>
      <c r="G504" s="2">
        <f t="shared" si="41"/>
        <v>0.3848525127330234</v>
      </c>
      <c r="H504" s="2">
        <f>(SystemConstants!$B$6*F504)+(0.5*SystemConstants!$B$7*SystemConstants!$B$5*Data!E504^2)+(0.5*SystemConstants!$B$7*SystemConstants!$B$2*SystemConstants!$B$3*Data!E504^2)</f>
        <v>2.5997055706864529</v>
      </c>
      <c r="I504" s="1"/>
      <c r="J504" s="1"/>
      <c r="K504" s="1"/>
    </row>
    <row r="505" spans="1:11" x14ac:dyDescent="0.45">
      <c r="A505" s="2">
        <f t="shared" si="39"/>
        <v>503</v>
      </c>
      <c r="B505" s="2">
        <f t="shared" si="44"/>
        <v>43.833333333333549</v>
      </c>
      <c r="C505" s="2">
        <f t="shared" si="43"/>
        <v>32.333333333332902</v>
      </c>
      <c r="D505" s="2">
        <v>0</v>
      </c>
      <c r="E505" s="7">
        <f t="shared" si="40"/>
        <v>6.4983657514709137E-2</v>
      </c>
      <c r="F505" s="7">
        <f t="shared" si="42"/>
        <v>-2.4664289748130841E-3</v>
      </c>
      <c r="G505" s="2">
        <f t="shared" si="41"/>
        <v>0.38578825230738556</v>
      </c>
      <c r="H505" s="2">
        <f>(SystemConstants!$B$6*F505)+(0.5*SystemConstants!$B$7*SystemConstants!$B$5*Data!E505^2)+(0.5*SystemConstants!$B$7*SystemConstants!$B$2*SystemConstants!$B$3*Data!E505^2)</f>
        <v>2.412870695935863</v>
      </c>
      <c r="I505" s="1"/>
      <c r="J505" s="1"/>
      <c r="K505" s="1"/>
    </row>
    <row r="506" spans="1:11" x14ac:dyDescent="0.45">
      <c r="A506" s="2">
        <f t="shared" si="39"/>
        <v>504</v>
      </c>
      <c r="B506" s="2">
        <f t="shared" si="44"/>
        <v>44.000000000000213</v>
      </c>
      <c r="C506" s="2">
        <f t="shared" si="43"/>
        <v>31.999999999999574</v>
      </c>
      <c r="D506" s="2">
        <v>0</v>
      </c>
      <c r="E506" s="7">
        <f t="shared" si="40"/>
        <v>6.2508390657875168E-2</v>
      </c>
      <c r="F506" s="7">
        <f t="shared" si="42"/>
        <v>-2.4752668568339686E-3</v>
      </c>
      <c r="G506" s="2">
        <f t="shared" si="41"/>
        <v>0.38669230309173419</v>
      </c>
      <c r="H506" s="2">
        <f>(SystemConstants!$B$6*F506)+(0.5*SystemConstants!$B$7*SystemConstants!$B$5*Data!E506^2)+(0.5*SystemConstants!$B$7*SystemConstants!$B$2*SystemConstants!$B$3*Data!E506^2)</f>
        <v>2.232362949990244</v>
      </c>
      <c r="I506" s="1"/>
      <c r="J506" s="1"/>
      <c r="K506" s="1"/>
    </row>
    <row r="507" spans="1:11" x14ac:dyDescent="0.45">
      <c r="A507" s="2">
        <f t="shared" si="39"/>
        <v>505</v>
      </c>
      <c r="B507" s="2">
        <f t="shared" si="44"/>
        <v>44.166666666666877</v>
      </c>
      <c r="C507" s="2">
        <f t="shared" si="43"/>
        <v>31.666666666666245</v>
      </c>
      <c r="D507" s="2">
        <v>0</v>
      </c>
      <c r="E507" s="7">
        <f t="shared" si="40"/>
        <v>6.0024582673868565E-2</v>
      </c>
      <c r="F507" s="7">
        <f t="shared" si="42"/>
        <v>-2.483807984006603E-3</v>
      </c>
      <c r="G507" s="2">
        <f t="shared" si="41"/>
        <v>0.38756418701611905</v>
      </c>
      <c r="H507" s="2">
        <f>(SystemConstants!$B$6*F507)+(0.5*SystemConstants!$B$7*SystemConstants!$B$5*Data!E507^2)+(0.5*SystemConstants!$B$7*SystemConstants!$B$2*SystemConstants!$B$3*Data!E507^2)</f>
        <v>2.0582777891460435</v>
      </c>
      <c r="I507" s="1"/>
      <c r="J507" s="1"/>
      <c r="K507" s="1"/>
    </row>
    <row r="508" spans="1:11" x14ac:dyDescent="0.45">
      <c r="A508" s="2">
        <f t="shared" si="39"/>
        <v>506</v>
      </c>
      <c r="B508" s="2">
        <f t="shared" si="44"/>
        <v>44.333333333333542</v>
      </c>
      <c r="C508" s="2">
        <f t="shared" si="43"/>
        <v>31.333333333332916</v>
      </c>
      <c r="D508" s="2">
        <v>0</v>
      </c>
      <c r="E508" s="7">
        <f t="shared" si="40"/>
        <v>5.7532535926789308E-2</v>
      </c>
      <c r="F508" s="7">
        <f t="shared" si="42"/>
        <v>-2.4920467470792573E-3</v>
      </c>
      <c r="G508" s="2">
        <f t="shared" si="41"/>
        <v>0.3884034397714124</v>
      </c>
      <c r="H508" s="2">
        <f>(SystemConstants!$B$6*F508)+(0.5*SystemConstants!$B$7*SystemConstants!$B$5*Data!E508^2)+(0.5*SystemConstants!$B$7*SystemConstants!$B$2*SystemConstants!$B$3*Data!E508^2)</f>
        <v>1.8907079222844621</v>
      </c>
      <c r="I508" s="1"/>
      <c r="J508" s="1"/>
      <c r="K508" s="1"/>
    </row>
    <row r="509" spans="1:11" x14ac:dyDescent="0.45">
      <c r="A509" s="2">
        <f t="shared" si="39"/>
        <v>507</v>
      </c>
      <c r="B509" s="2">
        <f t="shared" si="44"/>
        <v>44.500000000000206</v>
      </c>
      <c r="C509" s="2">
        <f t="shared" si="43"/>
        <v>30.999999999999588</v>
      </c>
      <c r="D509" s="2">
        <v>0</v>
      </c>
      <c r="E509" s="7">
        <f t="shared" si="40"/>
        <v>5.5032558233243378E-2</v>
      </c>
      <c r="F509" s="7">
        <f t="shared" si="42"/>
        <v>-2.4999776935459295E-3</v>
      </c>
      <c r="G509" s="2">
        <f t="shared" si="41"/>
        <v>0.38920961139895838</v>
      </c>
      <c r="H509" s="2">
        <f>(SystemConstants!$B$6*F509)+(0.5*SystemConstants!$B$7*SystemConstants!$B$5*Data!E509^2)+(0.5*SystemConstants!$B$7*SystemConstants!$B$2*SystemConstants!$B$3*Data!E509^2)</f>
        <v>1.7297431922978799</v>
      </c>
      <c r="I509" s="1"/>
      <c r="J509" s="1"/>
      <c r="K509" s="1"/>
    </row>
    <row r="510" spans="1:11" x14ac:dyDescent="0.45">
      <c r="A510" s="2">
        <f t="shared" si="39"/>
        <v>508</v>
      </c>
      <c r="B510" s="2">
        <f t="shared" si="44"/>
        <v>44.66666666666687</v>
      </c>
      <c r="C510" s="2">
        <f t="shared" si="43"/>
        <v>30.666666666666259</v>
      </c>
      <c r="D510" s="2">
        <v>0</v>
      </c>
      <c r="E510" s="7">
        <f t="shared" si="40"/>
        <v>5.252496269755369E-2</v>
      </c>
      <c r="F510" s="7">
        <f t="shared" si="42"/>
        <v>-2.5075955356896884E-3</v>
      </c>
      <c r="G510" s="2">
        <f t="shared" si="41"/>
        <v>0.38998226687865761</v>
      </c>
      <c r="H510" s="2">
        <f>(SystemConstants!$B$6*F510)+(0.5*SystemConstants!$B$7*SystemConstants!$B$5*Data!E510^2)+(0.5*SystemConstants!$B$7*SystemConstants!$B$2*SystemConstants!$B$3*Data!E510^2)</f>
        <v>1.5754704600036078</v>
      </c>
      <c r="I510" s="1"/>
      <c r="J510" s="1"/>
      <c r="K510" s="1"/>
    </row>
    <row r="511" spans="1:11" x14ac:dyDescent="0.45">
      <c r="A511" s="2">
        <f t="shared" si="39"/>
        <v>509</v>
      </c>
      <c r="B511" s="2">
        <f t="shared" si="44"/>
        <v>44.833333333333535</v>
      </c>
      <c r="C511" s="2">
        <f t="shared" si="43"/>
        <v>30.333333333332931</v>
      </c>
      <c r="D511" s="2">
        <v>0</v>
      </c>
      <c r="E511" s="7">
        <f t="shared" si="40"/>
        <v>5.0010067539027148E-2</v>
      </c>
      <c r="F511" s="7">
        <f t="shared" si="42"/>
        <v>-2.5148951585265422E-3</v>
      </c>
      <c r="G511" s="2">
        <f t="shared" si="41"/>
        <v>0.39072098668910099</v>
      </c>
      <c r="H511" s="2">
        <f>(SystemConstants!$B$6*F511)+(0.5*SystemConstants!$B$7*SystemConstants!$B$5*Data!E511^2)+(0.5*SystemConstants!$B$7*SystemConstants!$B$2*SystemConstants!$B$3*Data!E511^2)</f>
        <v>1.4279734908091479</v>
      </c>
      <c r="I511" s="1"/>
      <c r="J511" s="1"/>
      <c r="K511" s="1"/>
    </row>
    <row r="512" spans="1:11" x14ac:dyDescent="0.45">
      <c r="A512" s="2">
        <f t="shared" si="39"/>
        <v>510</v>
      </c>
      <c r="B512" s="2">
        <f t="shared" si="44"/>
        <v>45.000000000000199</v>
      </c>
      <c r="C512" s="2">
        <f t="shared" si="43"/>
        <v>29.999999999999602</v>
      </c>
      <c r="D512" s="2">
        <v>0</v>
      </c>
      <c r="E512" s="7">
        <f t="shared" si="40"/>
        <v>4.7488195911427056E-2</v>
      </c>
      <c r="F512" s="7">
        <f t="shared" si="42"/>
        <v>-2.5218716276000919E-3</v>
      </c>
      <c r="G512" s="2">
        <f t="shared" si="41"/>
        <v>0.39142536736680034</v>
      </c>
      <c r="H512" s="2">
        <f>(SystemConstants!$B$6*F512)+(0.5*SystemConstants!$B$7*SystemConstants!$B$5*Data!E512^2)+(0.5*SystemConstants!$B$7*SystemConstants!$B$2*SystemConstants!$B$3*Data!E512^2)</f>
        <v>1.2873328443935459</v>
      </c>
      <c r="I512" s="1"/>
      <c r="J512" s="1"/>
      <c r="K512" s="1"/>
    </row>
    <row r="513" spans="1:11" x14ac:dyDescent="0.45">
      <c r="A513" s="2">
        <f t="shared" si="39"/>
        <v>511</v>
      </c>
      <c r="B513" s="2">
        <f t="shared" si="44"/>
        <v>45.166666666666863</v>
      </c>
      <c r="C513" s="2">
        <f t="shared" si="43"/>
        <v>29.666666666666273</v>
      </c>
      <c r="D513" s="2">
        <v>0</v>
      </c>
      <c r="E513" s="7">
        <f t="shared" si="40"/>
        <v>4.4959675714913772E-2</v>
      </c>
      <c r="F513" s="7">
        <f t="shared" si="42"/>
        <v>-2.5285201965132842E-3</v>
      </c>
      <c r="G513" s="2">
        <f t="shared" si="41"/>
        <v>0.3920950220419972</v>
      </c>
      <c r="H513" s="2">
        <f>(SystemConstants!$B$6*F513)+(0.5*SystemConstants!$B$7*SystemConstants!$B$5*Data!E513^2)+(0.5*SystemConstants!$B$7*SystemConstants!$B$2*SystemConstants!$B$3*Data!E513^2)</f>
        <v>1.1536257676712716</v>
      </c>
      <c r="I513" s="1"/>
      <c r="J513" s="1"/>
      <c r="K513" s="1"/>
    </row>
    <row r="514" spans="1:11" x14ac:dyDescent="0.45">
      <c r="A514" s="2">
        <f t="shared" si="39"/>
        <v>512</v>
      </c>
      <c r="B514" s="2">
        <f t="shared" si="44"/>
        <v>45.333333333333528</v>
      </c>
      <c r="C514" s="2">
        <f t="shared" si="43"/>
        <v>29.333333333332945</v>
      </c>
      <c r="D514" s="2">
        <v>0</v>
      </c>
      <c r="E514" s="7">
        <f t="shared" si="40"/>
        <v>4.2424839400688086E-2</v>
      </c>
      <c r="F514" s="7">
        <f t="shared" si="42"/>
        <v>-2.5348363142256858E-3</v>
      </c>
      <c r="G514" s="2">
        <f t="shared" si="41"/>
        <v>0.39272958094934562</v>
      </c>
      <c r="H514" s="2">
        <f>(SystemConstants!$B$6*F514)+(0.5*SystemConstants!$B$7*SystemConstants!$B$5*Data!E514^2)+(0.5*SystemConstants!$B$7*SystemConstants!$B$2*SystemConstants!$B$3*Data!E514^2)</f>
        <v>1.0269260912964671</v>
      </c>
      <c r="I514" s="1"/>
      <c r="J514" s="1"/>
      <c r="K514" s="1"/>
    </row>
    <row r="515" spans="1:11" x14ac:dyDescent="0.45">
      <c r="A515" s="2">
        <f t="shared" ref="A515:A540" si="45">A514+1</f>
        <v>513</v>
      </c>
      <c r="B515" s="2">
        <f t="shared" si="44"/>
        <v>45.500000000000192</v>
      </c>
      <c r="C515" s="2">
        <f t="shared" si="43"/>
        <v>28.999999999999616</v>
      </c>
      <c r="D515" s="2">
        <v>0</v>
      </c>
      <c r="E515" s="7">
        <f t="shared" si="40"/>
        <v>3.9884023768387067E-2</v>
      </c>
      <c r="F515" s="7">
        <f t="shared" si="42"/>
        <v>-2.5408156323010189E-3</v>
      </c>
      <c r="G515" s="2">
        <f t="shared" si="41"/>
        <v>0.39332869193543946</v>
      </c>
      <c r="H515" s="2">
        <f>(SystemConstants!$B$6*F515)+(0.5*SystemConstants!$B$7*SystemConstants!$B$5*Data!E515^2)+(0.5*SystemConstants!$B$7*SystemConstants!$B$2*SystemConstants!$B$3*Data!E515^2)</f>
        <v>0.90730412994993581</v>
      </c>
      <c r="I515" s="1"/>
      <c r="J515" s="1"/>
      <c r="K515" s="1"/>
    </row>
    <row r="516" spans="1:11" x14ac:dyDescent="0.45">
      <c r="A516" s="2">
        <f t="shared" si="45"/>
        <v>514</v>
      </c>
      <c r="B516" s="2">
        <f t="shared" si="44"/>
        <v>45.666666666666856</v>
      </c>
      <c r="C516" s="2">
        <f t="shared" si="43"/>
        <v>28.666666666666288</v>
      </c>
      <c r="D516" s="2">
        <v>0</v>
      </c>
      <c r="E516" s="7">
        <f t="shared" ref="E516:E542" si="46">ABS((SQRT(B516^2+C516^2+D516^2)-SQRT(B515^2+C515^2+D515^2))/(A516-A515))</f>
        <v>3.7337569756886069E-2</v>
      </c>
      <c r="F516" s="7">
        <f t="shared" si="42"/>
        <v>-2.5464540115009981E-3</v>
      </c>
      <c r="G516" s="2">
        <f t="shared" si="41"/>
        <v>0.39389202093627734</v>
      </c>
      <c r="H516" s="2">
        <f>(SystemConstants!$B$6*F516)+(0.5*SystemConstants!$B$7*SystemConstants!$B$5*Data!E516^2)+(0.5*SystemConstants!$B$7*SystemConstants!$B$2*SystemConstants!$B$3*Data!E516^2)</f>
        <v>0.7948265866748524</v>
      </c>
      <c r="I516" s="1"/>
      <c r="J516" s="1"/>
      <c r="K516" s="1"/>
    </row>
    <row r="517" spans="1:11" x14ac:dyDescent="0.45">
      <c r="A517" s="2">
        <f t="shared" si="45"/>
        <v>515</v>
      </c>
      <c r="B517" s="2">
        <f t="shared" si="44"/>
        <v>45.83333333333352</v>
      </c>
      <c r="C517" s="2">
        <f t="shared" si="43"/>
        <v>28.333333333332959</v>
      </c>
      <c r="D517" s="2">
        <v>0</v>
      </c>
      <c r="E517" s="7">
        <f t="shared" si="46"/>
        <v>3.4785822228244001E-2</v>
      </c>
      <c r="F517" s="7">
        <f t="shared" si="42"/>
        <v>-2.5517475286420677E-3</v>
      </c>
      <c r="G517" s="2">
        <f t="shared" ref="G517:G542" si="47">DEGREES(ACOS( (B516*B517+C516*C517+D516*D517) / SQRT((B516^2+C516^2+D516^2)*(B517^2+C517^2+D517^2))))</f>
        <v>0.39441925243000836</v>
      </c>
      <c r="H517" s="2">
        <f>(SystemConstants!$B$6*F517)+(0.5*SystemConstants!$B$7*SystemConstants!$B$5*Data!E517^2)+(0.5*SystemConstants!$B$7*SystemConstants!$B$2*SystemConstants!$B$3*Data!E517^2)</f>
        <v>0.68955646147171135</v>
      </c>
      <c r="I517" s="1"/>
      <c r="J517" s="1"/>
      <c r="K517" s="1"/>
    </row>
    <row r="518" spans="1:11" x14ac:dyDescent="0.45">
      <c r="A518" s="2">
        <f t="shared" si="45"/>
        <v>516</v>
      </c>
      <c r="B518" s="2">
        <f t="shared" si="44"/>
        <v>46.000000000000185</v>
      </c>
      <c r="C518" s="2">
        <f t="shared" si="43"/>
        <v>27.999999999999631</v>
      </c>
      <c r="D518" s="2">
        <v>0</v>
      </c>
      <c r="E518" s="7">
        <f t="shared" si="46"/>
        <v>3.2229129745658724E-2</v>
      </c>
      <c r="F518" s="7">
        <f t="shared" si="42"/>
        <v>-2.5566924825852766E-3</v>
      </c>
      <c r="G518" s="2">
        <f t="shared" si="47"/>
        <v>0.39491008988147147</v>
      </c>
      <c r="H518" s="2">
        <f>(SystemConstants!$B$6*F518)+(0.5*SystemConstants!$B$7*SystemConstants!$B$5*Data!E518^2)+(0.5*SystemConstants!$B$7*SystemConstants!$B$2*SystemConstants!$B$3*Data!E518^2)</f>
        <v>0.59155296441022132</v>
      </c>
      <c r="I518" s="1"/>
      <c r="J518" s="1"/>
      <c r="K518" s="1"/>
    </row>
    <row r="519" spans="1:11" x14ac:dyDescent="0.45">
      <c r="A519" s="2">
        <f t="shared" si="45"/>
        <v>517</v>
      </c>
      <c r="B519" s="2">
        <f t="shared" si="44"/>
        <v>46.166666666666849</v>
      </c>
      <c r="C519" s="2">
        <f t="shared" si="43"/>
        <v>27.666666666666302</v>
      </c>
      <c r="D519" s="2">
        <v>0</v>
      </c>
      <c r="E519" s="7">
        <f t="shared" si="46"/>
        <v>2.9667844345247829E-2</v>
      </c>
      <c r="F519" s="7">
        <f t="shared" si="42"/>
        <v>-2.5612854004108954E-3</v>
      </c>
      <c r="G519" s="2">
        <f t="shared" si="47"/>
        <v>0.39536425613573239</v>
      </c>
      <c r="H519" s="2">
        <f>(SystemConstants!$B$6*F519)+(0.5*SystemConstants!$B$7*SystemConstants!$B$5*Data!E519^2)+(0.5*SystemConstants!$B$7*SystemConstants!$B$2*SystemConstants!$B$3*Data!E519^2)</f>
        <v>0.5008714334546901</v>
      </c>
      <c r="I519" s="1"/>
      <c r="J519" s="1"/>
      <c r="K519" s="1"/>
    </row>
    <row r="520" spans="1:11" x14ac:dyDescent="0.45">
      <c r="A520" s="2">
        <f t="shared" si="45"/>
        <v>518</v>
      </c>
      <c r="B520" s="2">
        <f t="shared" si="44"/>
        <v>46.333333333333513</v>
      </c>
      <c r="C520" s="2">
        <f t="shared" si="43"/>
        <v>27.333333333332973</v>
      </c>
      <c r="D520" s="2">
        <v>0</v>
      </c>
      <c r="E520" s="7">
        <f t="shared" si="46"/>
        <v>2.7102321302393761E-2</v>
      </c>
      <c r="F520" s="7">
        <f t="shared" si="42"/>
        <v>-2.5655230428540676E-3</v>
      </c>
      <c r="G520" s="2">
        <f t="shared" si="47"/>
        <v>0.39578149383771288</v>
      </c>
      <c r="H520" s="2">
        <f>(SystemConstants!$B$6*F520)+(0.5*SystemConstants!$B$7*SystemConstants!$B$5*Data!E520^2)+(0.5*SystemConstants!$B$7*SystemConstants!$B$2*SystemConstants!$B$3*Data!E520^2)</f>
        <v>0.41756325723096949</v>
      </c>
      <c r="I520" s="1"/>
      <c r="J520" s="1"/>
      <c r="K520" s="1"/>
    </row>
    <row r="521" spans="1:11" x14ac:dyDescent="0.45">
      <c r="A521" s="2">
        <f t="shared" si="45"/>
        <v>519</v>
      </c>
      <c r="B521" s="2">
        <f t="shared" si="44"/>
        <v>46.500000000000178</v>
      </c>
      <c r="C521" s="2">
        <f t="shared" si="43"/>
        <v>26.999999999999645</v>
      </c>
      <c r="D521" s="2">
        <v>0</v>
      </c>
      <c r="E521" s="7">
        <f t="shared" si="46"/>
        <v>2.4532918892624878E-2</v>
      </c>
      <c r="F521" s="7">
        <f t="shared" ref="F521:F542" si="48">(E521-E520)/(A521-A520)</f>
        <v>-2.5694024097688839E-3</v>
      </c>
      <c r="G521" s="2">
        <f t="shared" si="47"/>
        <v>0.3961615657523328</v>
      </c>
      <c r="H521" s="2">
        <f>(SystemConstants!$B$6*F521)+(0.5*SystemConstants!$B$7*SystemConstants!$B$5*Data!E521^2)+(0.5*SystemConstants!$B$7*SystemConstants!$B$2*SystemConstants!$B$3*Data!E521^2)</f>
        <v>0.34167580291868971</v>
      </c>
      <c r="I521" s="1"/>
      <c r="J521" s="1"/>
      <c r="K521" s="1"/>
    </row>
    <row r="522" spans="1:11" x14ac:dyDescent="0.45">
      <c r="A522" s="2">
        <f t="shared" si="45"/>
        <v>520</v>
      </c>
      <c r="B522" s="2">
        <f t="shared" si="44"/>
        <v>46.666666666666842</v>
      </c>
      <c r="C522" s="2">
        <f t="shared" si="43"/>
        <v>26.666666666666316</v>
      </c>
      <c r="D522" s="2">
        <v>0</v>
      </c>
      <c r="E522" s="7">
        <f t="shared" si="46"/>
        <v>2.1959998147757176E-2</v>
      </c>
      <c r="F522" s="7">
        <f t="shared" si="48"/>
        <v>-2.5729207448677016E-3</v>
      </c>
      <c r="G522" s="2">
        <f t="shared" si="47"/>
        <v>0.39650425513465037</v>
      </c>
      <c r="H522" s="2">
        <f>(SystemConstants!$B$6*F522)+(0.5*SystemConstants!$B$7*SystemConstants!$B$5*Data!E522^2)+(0.5*SystemConstants!$B$7*SystemConstants!$B$2*SystemConstants!$B$3*Data!E522^2)</f>
        <v>0.27325234946949278</v>
      </c>
      <c r="I522" s="1"/>
      <c r="J522" s="1"/>
      <c r="K522" s="1"/>
    </row>
    <row r="523" spans="1:11" x14ac:dyDescent="0.45">
      <c r="A523" s="2">
        <f t="shared" si="45"/>
        <v>521</v>
      </c>
      <c r="B523" s="2">
        <f t="shared" si="44"/>
        <v>46.833333333333506</v>
      </c>
      <c r="C523" s="2">
        <f t="shared" si="43"/>
        <v>26.333333333332988</v>
      </c>
      <c r="D523" s="2">
        <v>0</v>
      </c>
      <c r="E523" s="7">
        <f t="shared" si="46"/>
        <v>1.9383922607431714E-2</v>
      </c>
      <c r="F523" s="7">
        <f t="shared" si="48"/>
        <v>-2.576075540325462E-3</v>
      </c>
      <c r="G523" s="2">
        <f t="shared" si="47"/>
        <v>0.39680936600873301</v>
      </c>
      <c r="H523" s="2">
        <f>(SystemConstants!$B$6*F523)+(0.5*SystemConstants!$B$7*SystemConstants!$B$5*Data!E523^2)+(0.5*SystemConstants!$B$7*SystemConstants!$B$2*SystemConstants!$B$3*Data!E523^2)</f>
        <v>0.21233202631604287</v>
      </c>
      <c r="I523" s="1"/>
      <c r="J523" s="1"/>
      <c r="K523" s="1"/>
    </row>
    <row r="524" spans="1:11" x14ac:dyDescent="0.45">
      <c r="A524" s="2">
        <f t="shared" si="45"/>
        <v>522</v>
      </c>
      <c r="B524" s="2">
        <f t="shared" si="44"/>
        <v>47.000000000000171</v>
      </c>
      <c r="C524" s="2">
        <f t="shared" si="43"/>
        <v>25.999999999999659</v>
      </c>
      <c r="D524" s="2">
        <v>0</v>
      </c>
      <c r="E524" s="7">
        <f t="shared" si="46"/>
        <v>1.6805058066424294E-2</v>
      </c>
      <c r="F524" s="7">
        <f t="shared" si="48"/>
        <v>-2.5788645410074196E-3</v>
      </c>
      <c r="G524" s="2">
        <f t="shared" si="47"/>
        <v>0.39707672346676981</v>
      </c>
      <c r="H524" s="2">
        <f>(SystemConstants!$B$6*F524)+(0.5*SystemConstants!$B$7*SystemConstants!$B$5*Data!E524^2)+(0.5*SystemConstants!$B$7*SystemConstants!$B$2*SystemConstants!$B$3*Data!E524^2)</f>
        <v>0.15894975773410139</v>
      </c>
      <c r="I524" s="1"/>
      <c r="J524" s="1"/>
      <c r="K524" s="1"/>
    </row>
    <row r="525" spans="1:11" x14ac:dyDescent="0.45">
      <c r="A525" s="2">
        <f t="shared" si="45"/>
        <v>523</v>
      </c>
      <c r="B525" s="2">
        <f t="shared" si="44"/>
        <v>47.166666666666835</v>
      </c>
      <c r="C525" s="2">
        <f t="shared" si="43"/>
        <v>25.66666666666633</v>
      </c>
      <c r="D525" s="2">
        <v>0</v>
      </c>
      <c r="E525" s="7">
        <f t="shared" si="46"/>
        <v>1.4223772318388228E-2</v>
      </c>
      <c r="F525" s="7">
        <f t="shared" si="48"/>
        <v>-2.5812857480360663E-3</v>
      </c>
      <c r="G525" s="2">
        <f t="shared" si="47"/>
        <v>0.39730617391406281</v>
      </c>
      <c r="H525" s="2">
        <f>(SystemConstants!$B$6*F525)+(0.5*SystemConstants!$B$7*SystemConstants!$B$5*Data!E525^2)+(0.5*SystemConstants!$B$7*SystemConstants!$B$2*SystemConstants!$B$3*Data!E525^2)</f>
        <v>0.11313621301067876</v>
      </c>
      <c r="I525" s="1"/>
      <c r="J525" s="1"/>
      <c r="K525" s="1"/>
    </row>
    <row r="526" spans="1:11" x14ac:dyDescent="0.45">
      <c r="A526" s="2">
        <f t="shared" si="45"/>
        <v>524</v>
      </c>
      <c r="B526" s="2">
        <f t="shared" si="44"/>
        <v>47.333333333333499</v>
      </c>
      <c r="C526" s="2">
        <f t="shared" si="43"/>
        <v>25.333333333333002</v>
      </c>
      <c r="D526" s="2">
        <v>0</v>
      </c>
      <c r="E526" s="7">
        <f t="shared" si="46"/>
        <v>1.1640434896101226E-2</v>
      </c>
      <c r="F526" s="7">
        <f t="shared" si="48"/>
        <v>-2.583337422287002E-3</v>
      </c>
      <c r="G526" s="2">
        <f t="shared" si="47"/>
        <v>0.39749758528044521</v>
      </c>
      <c r="H526" s="2">
        <f>(SystemConstants!$B$6*F526)+(0.5*SystemConstants!$B$7*SystemConstants!$B$5*Data!E526^2)+(0.5*SystemConstants!$B$7*SystemConstants!$B$2*SystemConstants!$B$3*Data!E526^2)</f>
        <v>7.4917762541605329E-2</v>
      </c>
      <c r="I526" s="1"/>
      <c r="J526" s="1"/>
      <c r="K526" s="1"/>
    </row>
    <row r="527" spans="1:11" x14ac:dyDescent="0.45">
      <c r="A527" s="2">
        <f t="shared" si="45"/>
        <v>525</v>
      </c>
      <c r="B527" s="2">
        <f t="shared" si="44"/>
        <v>47.500000000000163</v>
      </c>
      <c r="C527" s="2">
        <f t="shared" si="43"/>
        <v>24.999999999999673</v>
      </c>
      <c r="D527" s="2">
        <v>0</v>
      </c>
      <c r="E527" s="7">
        <f t="shared" si="46"/>
        <v>9.0554168089198583E-3</v>
      </c>
      <c r="F527" s="7">
        <f t="shared" si="48"/>
        <v>-2.5850180871813677E-3</v>
      </c>
      <c r="G527" s="2">
        <f t="shared" si="47"/>
        <v>0.39765084721233596</v>
      </c>
      <c r="H527" s="2">
        <f>(SystemConstants!$B$6*F527)+(0.5*SystemConstants!$B$7*SystemConstants!$B$5*Data!E527^2)+(0.5*SystemConstants!$B$7*SystemConstants!$B$2*SystemConstants!$B$3*Data!E527^2)</f>
        <v>4.4316439982372696E-2</v>
      </c>
      <c r="I527" s="1"/>
      <c r="J527" s="1"/>
      <c r="K527" s="1"/>
    </row>
    <row r="528" spans="1:11" x14ac:dyDescent="0.45">
      <c r="A528" s="2">
        <f t="shared" si="45"/>
        <v>526</v>
      </c>
      <c r="B528" s="2">
        <f t="shared" si="44"/>
        <v>47.666666666666828</v>
      </c>
      <c r="C528" s="2">
        <f t="shared" si="43"/>
        <v>24.666666666666345</v>
      </c>
      <c r="D528" s="2">
        <v>0</v>
      </c>
      <c r="E528" s="7">
        <f t="shared" si="46"/>
        <v>6.4690902776618486E-3</v>
      </c>
      <c r="F528" s="7">
        <f t="shared" si="48"/>
        <v>-2.5863265312580097E-3</v>
      </c>
      <c r="G528" s="2">
        <f t="shared" si="47"/>
        <v>0.39776587124204665</v>
      </c>
      <c r="H528" s="2">
        <f>(SystemConstants!$B$6*F528)+(0.5*SystemConstants!$B$7*SystemConstants!$B$5*Data!E528^2)+(0.5*SystemConstants!$B$7*SystemConstants!$B$2*SystemConstants!$B$3*Data!E528^2)</f>
        <v>2.1349910548974609E-2</v>
      </c>
      <c r="I528" s="1"/>
      <c r="J528" s="1"/>
      <c r="K528" s="1"/>
    </row>
    <row r="529" spans="1:11" x14ac:dyDescent="0.45">
      <c r="A529" s="2">
        <f t="shared" si="45"/>
        <v>527</v>
      </c>
      <c r="B529" s="2">
        <f t="shared" si="44"/>
        <v>47.833333333333492</v>
      </c>
      <c r="C529" s="2">
        <f t="shared" si="43"/>
        <v>24.333333333333016</v>
      </c>
      <c r="D529" s="2">
        <v>0</v>
      </c>
      <c r="E529" s="7">
        <f t="shared" si="46"/>
        <v>3.881828467548587E-3</v>
      </c>
      <c r="F529" s="7">
        <f t="shared" si="48"/>
        <v>-2.5872618101132616E-3</v>
      </c>
      <c r="G529" s="2">
        <f t="shared" si="47"/>
        <v>0.39784259090528451</v>
      </c>
      <c r="H529" s="2">
        <f>(SystemConstants!$B$6*F529)+(0.5*SystemConstants!$B$7*SystemConstants!$B$5*Data!E529^2)+(0.5*SystemConstants!$B$7*SystemConstants!$B$2*SystemConstants!$B$3*Data!E529^2)</f>
        <v>6.0314455569991255E-3</v>
      </c>
      <c r="I529" s="1"/>
      <c r="J529" s="1"/>
      <c r="K529" s="1"/>
    </row>
    <row r="530" spans="1:11" x14ac:dyDescent="0.45">
      <c r="A530" s="2">
        <f t="shared" si="45"/>
        <v>528</v>
      </c>
      <c r="B530" s="2">
        <f t="shared" si="44"/>
        <v>48.000000000000156</v>
      </c>
      <c r="C530" s="2">
        <f t="shared" si="43"/>
        <v>23.999999999999687</v>
      </c>
      <c r="D530" s="2">
        <v>0</v>
      </c>
      <c r="E530" s="7">
        <f t="shared" si="46"/>
        <v>1.2940052195489216E-3</v>
      </c>
      <c r="F530" s="7">
        <f t="shared" si="48"/>
        <v>-2.5878232479996655E-3</v>
      </c>
      <c r="G530" s="2">
        <f t="shared" si="47"/>
        <v>0.39788096183413857</v>
      </c>
      <c r="H530" s="2">
        <f>(SystemConstants!$B$6*F530)+(0.5*SystemConstants!$B$7*SystemConstants!$B$5*Data!E530^2)+(0.5*SystemConstants!$B$7*SystemConstants!$B$2*SystemConstants!$B$3*Data!E530^2)</f>
        <v>-1.6300967350306973E-3</v>
      </c>
      <c r="I530" s="1"/>
      <c r="J530" s="1"/>
      <c r="K530" s="1"/>
    </row>
    <row r="531" spans="1:11" x14ac:dyDescent="0.45">
      <c r="A531" s="2">
        <f t="shared" si="45"/>
        <v>529</v>
      </c>
      <c r="B531" s="2">
        <f t="shared" si="44"/>
        <v>48.166666666666821</v>
      </c>
      <c r="C531" s="2">
        <f t="shared" si="43"/>
        <v>23.666666666666359</v>
      </c>
      <c r="D531" s="2">
        <v>0</v>
      </c>
      <c r="E531" s="7">
        <f t="shared" si="46"/>
        <v>1.294005219556027E-3</v>
      </c>
      <c r="F531" s="7">
        <f t="shared" si="48"/>
        <v>7.1054273576010019E-15</v>
      </c>
      <c r="G531" s="2">
        <f t="shared" si="47"/>
        <v>0.39788096183505456</v>
      </c>
      <c r="H531" s="2">
        <f>(SystemConstants!$B$6*F531)+(0.5*SystemConstants!$B$7*SystemConstants!$B$5*Data!E531^2)+(0.5*SystemConstants!$B$7*SystemConstants!$B$2*SystemConstants!$B$3*Data!E531^2)</f>
        <v>9.5772651298659135E-4</v>
      </c>
      <c r="I531" s="1"/>
      <c r="J531" s="1"/>
      <c r="K531" s="1"/>
    </row>
    <row r="532" spans="1:11" x14ac:dyDescent="0.45">
      <c r="A532" s="2">
        <f t="shared" si="45"/>
        <v>530</v>
      </c>
      <c r="B532" s="2">
        <f t="shared" si="44"/>
        <v>48.333333333333485</v>
      </c>
      <c r="C532" s="2">
        <f t="shared" si="43"/>
        <v>23.33333333333303</v>
      </c>
      <c r="D532" s="2">
        <v>0</v>
      </c>
      <c r="E532" s="7">
        <f t="shared" si="46"/>
        <v>3.8818284675556924E-3</v>
      </c>
      <c r="F532" s="7">
        <f t="shared" si="48"/>
        <v>2.5878232479996655E-3</v>
      </c>
      <c r="G532" s="2">
        <f t="shared" si="47"/>
        <v>0.39784259090528451</v>
      </c>
      <c r="H532" s="2">
        <f>(SystemConstants!$B$6*F532)+(0.5*SystemConstants!$B$7*SystemConstants!$B$5*Data!E532^2)+(0.5*SystemConstants!$B$7*SystemConstants!$B$2*SystemConstants!$B$3*Data!E532^2)</f>
        <v>1.1206530615143605E-2</v>
      </c>
      <c r="I532" s="1"/>
      <c r="J532" s="1"/>
      <c r="K532" s="1"/>
    </row>
    <row r="533" spans="1:11" x14ac:dyDescent="0.45">
      <c r="A533" s="2">
        <f t="shared" si="45"/>
        <v>531</v>
      </c>
      <c r="B533" s="2">
        <f t="shared" si="44"/>
        <v>48.500000000000149</v>
      </c>
      <c r="C533" s="2">
        <f t="shared" si="43"/>
        <v>22.999999999999702</v>
      </c>
      <c r="D533" s="2">
        <v>0</v>
      </c>
      <c r="E533" s="7">
        <f t="shared" si="46"/>
        <v>6.4690902776618486E-3</v>
      </c>
      <c r="F533" s="7">
        <f t="shared" si="48"/>
        <v>2.5872618101061562E-3</v>
      </c>
      <c r="G533" s="2">
        <f t="shared" si="47"/>
        <v>0.39776587124387863</v>
      </c>
      <c r="H533" s="2">
        <f>(SystemConstants!$B$6*F533)+(0.5*SystemConstants!$B$7*SystemConstants!$B$5*Data!E533^2)+(0.5*SystemConstants!$B$7*SystemConstants!$B$2*SystemConstants!$B$3*Data!E533^2)</f>
        <v>2.6523498890338774E-2</v>
      </c>
      <c r="I533" s="1"/>
      <c r="J533" s="1"/>
      <c r="K533" s="1"/>
    </row>
    <row r="534" spans="1:11" x14ac:dyDescent="0.45">
      <c r="A534" s="2">
        <f t="shared" si="45"/>
        <v>532</v>
      </c>
      <c r="B534" s="2">
        <f t="shared" si="44"/>
        <v>48.666666666666814</v>
      </c>
      <c r="C534" s="2">
        <f t="shared" si="43"/>
        <v>22.666666666666373</v>
      </c>
      <c r="D534" s="2">
        <v>0</v>
      </c>
      <c r="E534" s="7">
        <f t="shared" si="46"/>
        <v>9.0554168089269638E-3</v>
      </c>
      <c r="F534" s="7">
        <f t="shared" si="48"/>
        <v>2.5863265312651151E-3</v>
      </c>
      <c r="G534" s="2">
        <f t="shared" si="47"/>
        <v>0.39765084721416794</v>
      </c>
      <c r="H534" s="2">
        <f>(SystemConstants!$B$6*F534)+(0.5*SystemConstants!$B$7*SystemConstants!$B$5*Data!E534^2)+(0.5*SystemConstants!$B$7*SystemConstants!$B$2*SystemConstants!$B$3*Data!E534^2)</f>
        <v>4.948778460089278E-2</v>
      </c>
      <c r="I534" s="1"/>
      <c r="J534" s="1"/>
      <c r="K534" s="1"/>
    </row>
    <row r="535" spans="1:11" x14ac:dyDescent="0.45">
      <c r="A535" s="2">
        <f t="shared" si="45"/>
        <v>533</v>
      </c>
      <c r="B535" s="2">
        <f t="shared" si="44"/>
        <v>48.833333333333478</v>
      </c>
      <c r="C535" s="2">
        <f t="shared" si="43"/>
        <v>22.333333333333044</v>
      </c>
      <c r="D535" s="2">
        <v>0</v>
      </c>
      <c r="E535" s="7">
        <f t="shared" si="46"/>
        <v>1.1640434896108331E-2</v>
      </c>
      <c r="F535" s="7">
        <f t="shared" si="48"/>
        <v>2.5850180871813677E-3</v>
      </c>
      <c r="G535" s="2">
        <f t="shared" si="47"/>
        <v>0.39749758528044521</v>
      </c>
      <c r="H535" s="2">
        <f>(SystemConstants!$B$6*F535)+(0.5*SystemConstants!$B$7*SystemConstants!$B$5*Data!E535^2)+(0.5*SystemConstants!$B$7*SystemConstants!$B$2*SystemConstants!$B$3*Data!E535^2)</f>
        <v>8.0086118051168317E-2</v>
      </c>
      <c r="I535" s="1"/>
      <c r="J535" s="1"/>
      <c r="K535" s="1"/>
    </row>
    <row r="536" spans="1:11" x14ac:dyDescent="0.45">
      <c r="A536" s="2">
        <f t="shared" si="45"/>
        <v>534</v>
      </c>
      <c r="B536" s="2">
        <f t="shared" si="44"/>
        <v>49.000000000000142</v>
      </c>
      <c r="C536" s="2">
        <f t="shared" si="43"/>
        <v>21.999999999999716</v>
      </c>
      <c r="D536" s="2">
        <v>0</v>
      </c>
      <c r="E536" s="7">
        <f t="shared" si="46"/>
        <v>1.4223772318395334E-2</v>
      </c>
      <c r="F536" s="7">
        <f t="shared" si="48"/>
        <v>2.583337422287002E-3</v>
      </c>
      <c r="G536" s="2">
        <f t="shared" si="47"/>
        <v>0.39730617391682349</v>
      </c>
      <c r="H536" s="2">
        <f>(SystemConstants!$B$6*F536)+(0.5*SystemConstants!$B$7*SystemConstants!$B$5*Data!E536^2)+(0.5*SystemConstants!$B$7*SystemConstants!$B$2*SystemConstants!$B$3*Data!E536^2)</f>
        <v>0.11830083618111745</v>
      </c>
      <c r="I536" s="1"/>
      <c r="J536" s="1"/>
      <c r="K536" s="1"/>
    </row>
    <row r="537" spans="1:11" x14ac:dyDescent="0.45">
      <c r="A537" s="2">
        <f t="shared" si="45"/>
        <v>535</v>
      </c>
      <c r="B537" s="2">
        <f t="shared" si="44"/>
        <v>49.166666666666806</v>
      </c>
      <c r="C537" s="2">
        <f t="shared" si="43"/>
        <v>21.666666666666387</v>
      </c>
      <c r="D537" s="2">
        <v>0</v>
      </c>
      <c r="E537" s="7">
        <f t="shared" si="46"/>
        <v>1.6805058066424294E-2</v>
      </c>
      <c r="F537" s="7">
        <f t="shared" si="48"/>
        <v>2.5812857480289608E-3</v>
      </c>
      <c r="G537" s="2">
        <f t="shared" si="47"/>
        <v>0.39707672346860179</v>
      </c>
      <c r="H537" s="2">
        <f>(SystemConstants!$B$6*F537)+(0.5*SystemConstants!$B$7*SystemConstants!$B$5*Data!E537^2)+(0.5*SystemConstants!$B$7*SystemConstants!$B$2*SystemConstants!$B$3*Data!E537^2)</f>
        <v>0.16410990802313777</v>
      </c>
      <c r="I537" s="1"/>
      <c r="J537" s="1"/>
      <c r="K537" s="1"/>
    </row>
    <row r="538" spans="1:11" x14ac:dyDescent="0.45">
      <c r="A538" s="2">
        <f t="shared" si="45"/>
        <v>536</v>
      </c>
      <c r="B538" s="2">
        <f t="shared" si="44"/>
        <v>49.333333333333471</v>
      </c>
      <c r="C538" s="2">
        <f t="shared" si="43"/>
        <v>21.333333333333059</v>
      </c>
      <c r="D538" s="2">
        <v>0</v>
      </c>
      <c r="E538" s="7">
        <f t="shared" si="46"/>
        <v>1.9383922607431714E-2</v>
      </c>
      <c r="F538" s="7">
        <f t="shared" si="48"/>
        <v>2.5788645410074196E-3</v>
      </c>
      <c r="G538" s="2">
        <f t="shared" si="47"/>
        <v>0.39680936600690103</v>
      </c>
      <c r="H538" s="2">
        <f>(SystemConstants!$B$6*F538)+(0.5*SystemConstants!$B$7*SystemConstants!$B$5*Data!E538^2)+(0.5*SystemConstants!$B$7*SystemConstants!$B$2*SystemConstants!$B$3*Data!E538^2)</f>
        <v>0.21748696639737575</v>
      </c>
      <c r="I538" s="1"/>
      <c r="J538" s="1"/>
      <c r="K538" s="1"/>
    </row>
    <row r="539" spans="1:11" x14ac:dyDescent="0.45">
      <c r="A539" s="2">
        <f t="shared" si="45"/>
        <v>537</v>
      </c>
      <c r="B539" s="2">
        <f t="shared" si="44"/>
        <v>49.500000000000135</v>
      </c>
      <c r="C539" s="2">
        <f t="shared" si="43"/>
        <v>20.99999999999973</v>
      </c>
      <c r="D539" s="2">
        <v>0</v>
      </c>
      <c r="E539" s="7">
        <f t="shared" si="46"/>
        <v>2.1959998147764281E-2</v>
      </c>
      <c r="F539" s="7">
        <f t="shared" si="48"/>
        <v>2.5760755403325675E-3</v>
      </c>
      <c r="G539" s="2">
        <f t="shared" si="47"/>
        <v>0.39650425513190235</v>
      </c>
      <c r="H539" s="2">
        <f>(SystemConstants!$B$6*F539)+(0.5*SystemConstants!$B$7*SystemConstants!$B$5*Data!E539^2)+(0.5*SystemConstants!$B$7*SystemConstants!$B$2*SystemConstants!$B$3*Data!E539^2)</f>
        <v>0.27840134575487152</v>
      </c>
      <c r="I539" s="1"/>
      <c r="J539" s="1"/>
      <c r="K539" s="1"/>
    </row>
    <row r="540" spans="1:11" x14ac:dyDescent="0.45">
      <c r="A540" s="2">
        <f t="shared" si="45"/>
        <v>538</v>
      </c>
      <c r="B540" s="2">
        <f t="shared" si="44"/>
        <v>49.666666666666799</v>
      </c>
      <c r="C540" s="2">
        <f t="shared" si="43"/>
        <v>20.666666666666401</v>
      </c>
      <c r="D540" s="2">
        <v>0</v>
      </c>
      <c r="E540" s="7">
        <f t="shared" si="46"/>
        <v>2.4532918892631983E-2</v>
      </c>
      <c r="F540" s="7">
        <f t="shared" si="48"/>
        <v>2.5729207448677016E-3</v>
      </c>
      <c r="G540" s="2">
        <f t="shared" si="47"/>
        <v>0.39616156575417755</v>
      </c>
      <c r="H540" s="2">
        <f>(SystemConstants!$B$6*F540)+(0.5*SystemConstants!$B$7*SystemConstants!$B$5*Data!E540^2)+(0.5*SystemConstants!$B$7*SystemConstants!$B$2*SystemConstants!$B$3*Data!E540^2)</f>
        <v>0.34681812607352569</v>
      </c>
      <c r="I540" s="1"/>
      <c r="J540" s="1"/>
      <c r="K540" s="1"/>
    </row>
    <row r="541" spans="1:11" x14ac:dyDescent="0.45">
      <c r="A541" s="2">
        <f>A540+1</f>
        <v>539</v>
      </c>
      <c r="B541" s="2">
        <f t="shared" si="44"/>
        <v>49.833333333333464</v>
      </c>
      <c r="C541" s="2">
        <f t="shared" si="43"/>
        <v>20.333333333333073</v>
      </c>
      <c r="D541" s="2">
        <v>0</v>
      </c>
      <c r="E541" s="7">
        <f t="shared" si="46"/>
        <v>2.7102321302393761E-2</v>
      </c>
      <c r="F541" s="7">
        <f t="shared" si="48"/>
        <v>2.5694024097617785E-3</v>
      </c>
      <c r="G541" s="2">
        <f t="shared" si="47"/>
        <v>0.39578149383771288</v>
      </c>
      <c r="H541" s="2">
        <f>(SystemConstants!$B$6*F541)+(0.5*SystemConstants!$B$7*SystemConstants!$B$5*Data!E541^2)+(0.5*SystemConstants!$B$7*SystemConstants!$B$2*SystemConstants!$B$3*Data!E541^2)</f>
        <v>0.42269818268358533</v>
      </c>
      <c r="I541" s="1"/>
      <c r="J541" s="1"/>
      <c r="K541" s="1"/>
    </row>
    <row r="542" spans="1:11" x14ac:dyDescent="0.45">
      <c r="A542" s="3">
        <f>A541+1</f>
        <v>540</v>
      </c>
      <c r="B542" s="3">
        <f t="shared" si="44"/>
        <v>50.000000000000128</v>
      </c>
      <c r="C542" s="3">
        <f t="shared" si="43"/>
        <v>19.999999999999744</v>
      </c>
      <c r="D542" s="3">
        <v>0</v>
      </c>
      <c r="E542" s="6">
        <f t="shared" si="46"/>
        <v>2.966784434526204E-2</v>
      </c>
      <c r="F542" s="6">
        <f t="shared" si="48"/>
        <v>2.5655230428682785E-3</v>
      </c>
      <c r="G542" s="2">
        <f t="shared" si="47"/>
        <v>0.39536425613757714</v>
      </c>
      <c r="H542" s="3">
        <f>(SystemConstants!$B$6*F542)+(0.5*SystemConstants!$B$7*SystemConstants!$B$5*Data!E542^2)+(0.5*SystemConstants!$B$7*SystemConstants!$B$2*SystemConstants!$B$3*Data!E542^2)</f>
        <v>0.50599824189845155</v>
      </c>
      <c r="I542" s="11"/>
      <c r="J542" s="11"/>
      <c r="K542" s="11"/>
    </row>
    <row r="543" spans="1:11" x14ac:dyDescent="0.45">
      <c r="A543" s="5"/>
      <c r="B543" s="5"/>
      <c r="C543" s="5"/>
      <c r="D543" s="5"/>
    </row>
    <row r="544" spans="1:11" x14ac:dyDescent="0.45">
      <c r="A544" s="5"/>
      <c r="B544" s="5"/>
      <c r="C544" s="5"/>
      <c r="D544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C0858-262C-4B20-BD73-C6C53220E516}">
  <dimension ref="A1:C7"/>
  <sheetViews>
    <sheetView workbookViewId="0">
      <selection activeCell="C4" sqref="C4"/>
    </sheetView>
  </sheetViews>
  <sheetFormatPr defaultRowHeight="14.25" x14ac:dyDescent="0.45"/>
  <cols>
    <col min="1" max="1" width="21.3984375" customWidth="1"/>
  </cols>
  <sheetData>
    <row r="1" spans="1:3" x14ac:dyDescent="0.45">
      <c r="A1" s="9" t="s">
        <v>25</v>
      </c>
      <c r="B1" s="9" t="s">
        <v>26</v>
      </c>
    </row>
    <row r="2" spans="1:3" x14ac:dyDescent="0.45">
      <c r="A2" s="1" t="s">
        <v>27</v>
      </c>
      <c r="B2" s="8">
        <v>0.5</v>
      </c>
    </row>
    <row r="3" spans="1:3" x14ac:dyDescent="0.45">
      <c r="A3" s="1" t="s">
        <v>29</v>
      </c>
      <c r="B3" s="8">
        <v>2.1230000000000002</v>
      </c>
    </row>
    <row r="4" spans="1:3" x14ac:dyDescent="0.45">
      <c r="A4" s="1" t="s">
        <v>28</v>
      </c>
      <c r="B4" s="8">
        <v>1.2</v>
      </c>
    </row>
    <row r="5" spans="1:3" x14ac:dyDescent="0.45">
      <c r="A5" s="1" t="s">
        <v>30</v>
      </c>
      <c r="B5" s="8">
        <v>0.06</v>
      </c>
    </row>
    <row r="6" spans="1:3" x14ac:dyDescent="0.45">
      <c r="A6" s="10" t="s">
        <v>32</v>
      </c>
      <c r="B6" s="8">
        <v>1</v>
      </c>
      <c r="C6" t="s">
        <v>33</v>
      </c>
    </row>
    <row r="7" spans="1:3" x14ac:dyDescent="0.45">
      <c r="A7" s="1" t="s">
        <v>31</v>
      </c>
      <c r="B7" s="8">
        <v>1020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FFA43872E58345A965DE46250B45DC" ma:contentTypeVersion="8" ma:contentTypeDescription="Create a new document." ma:contentTypeScope="" ma:versionID="9888759ab6c97773bcbe0d0e59264036">
  <xsd:schema xmlns:xsd="http://www.w3.org/2001/XMLSchema" xmlns:xs="http://www.w3.org/2001/XMLSchema" xmlns:p="http://schemas.microsoft.com/office/2006/metadata/properties" xmlns:ns2="f532e0b6-fc68-440b-81af-cff51d2664cf" targetNamespace="http://schemas.microsoft.com/office/2006/metadata/properties" ma:root="true" ma:fieldsID="c921a0fa05e8adb0871144f296e5b5ac" ns2:_="">
    <xsd:import namespace="f532e0b6-fc68-440b-81af-cff51d2664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32e0b6-fc68-440b-81af-cff51d2664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A918A4-F846-44F0-98AE-ADA5DCE8AEFC}">
  <ds:schemaRefs>
    <ds:schemaRef ds:uri="http://purl.org/dc/terms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f532e0b6-fc68-440b-81af-cff51d2664cf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5AD4988-7AFD-48AA-BC3A-B9860B6B9A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06B8ED-787E-4889-9804-249D68AD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32e0b6-fc68-440b-81af-cff51d2664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Calculations</vt:lpstr>
      <vt:lpstr>Data</vt:lpstr>
      <vt:lpstr>SystemConstants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McLaughlin, Lundyn M.</dc:creator>
  <cp:keywords/>
  <dc:description/>
  <cp:lastModifiedBy>Lundyn McLaughlin</cp:lastModifiedBy>
  <cp:revision/>
  <dcterms:created xsi:type="dcterms:W3CDTF">2024-10-29T00:55:13Z</dcterms:created>
  <dcterms:modified xsi:type="dcterms:W3CDTF">2024-11-13T20:01:53Z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0x01010005FFA43872E58345A965DE46250B45DC</vt:lpwstr>
  </property>
</Properties>
</file>